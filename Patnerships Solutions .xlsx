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929UJ\OneDrive - EY\Desktop\Part 4 Tax Tutorials\"/>
    </mc:Choice>
  </mc:AlternateContent>
  <xr:revisionPtr revIDLastSave="0" documentId="13_ncr:1_{748FC2BE-6AF7-4A27-BE9C-0A960EB37578}" xr6:coauthVersionLast="47" xr6:coauthVersionMax="47" xr10:uidLastSave="{00000000-0000-0000-0000-000000000000}"/>
  <bookViews>
    <workbookView xWindow="-110" yWindow="-110" windowWidth="19420" windowHeight="10420" xr2:uid="{29D37CC2-5961-4FD2-A80D-A88BCECF9CD4}"/>
  </bookViews>
  <sheets>
    <sheet name="Sabelo Nare Solutions " sheetId="1" r:id="rId1"/>
    <sheet name="Practise Question 1- Samuel 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1" l="1"/>
  <c r="U32" i="1"/>
  <c r="I27" i="1"/>
  <c r="H28" i="1" s="1"/>
  <c r="U26" i="1"/>
  <c r="V26" i="1"/>
  <c r="I38" i="1"/>
  <c r="I39" i="1"/>
  <c r="I40" i="1"/>
  <c r="G21" i="2"/>
  <c r="H21" i="2"/>
  <c r="B59" i="2"/>
  <c r="H12" i="2"/>
  <c r="G12" i="2"/>
  <c r="C18" i="2"/>
  <c r="C24" i="2" s="1"/>
  <c r="C66" i="2"/>
  <c r="C61" i="2"/>
  <c r="C34" i="2"/>
  <c r="C47" i="2"/>
  <c r="C33" i="2"/>
  <c r="C31" i="2"/>
  <c r="C36" i="2" s="1"/>
  <c r="U23" i="1" l="1"/>
  <c r="U28" i="1" s="1"/>
  <c r="U29" i="1" s="1"/>
  <c r="U33" i="1" s="1"/>
  <c r="H29" i="1"/>
  <c r="V23" i="1" s="1"/>
  <c r="V28" i="1" s="1"/>
  <c r="V29" i="1" s="1"/>
  <c r="V33" i="1" s="1"/>
  <c r="C26" i="2"/>
  <c r="I29" i="1" l="1"/>
  <c r="G11" i="2"/>
  <c r="G17" i="2" s="1"/>
  <c r="G18" i="2" s="1"/>
  <c r="G22" i="2" s="1"/>
  <c r="C27" i="2"/>
  <c r="H11" i="2" s="1"/>
  <c r="H17" i="2" s="1"/>
  <c r="H18" i="2" s="1"/>
  <c r="H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Mlayezeli Mangena</author>
  </authors>
  <commentList>
    <comment ref="B17" authorId="0" shapeId="0" xr:uid="{3AD46E2E-F3FF-460C-9CA2-01077AE4FE5C}">
      <text>
        <r>
          <rPr>
            <b/>
            <sz val="9"/>
            <color indexed="81"/>
            <rFont val="Tahoma"/>
            <family val="2"/>
          </rPr>
          <t>Mlayezeli Mangena:</t>
        </r>
        <r>
          <rPr>
            <sz val="9"/>
            <color indexed="81"/>
            <rFont val="Tahoma"/>
            <family val="2"/>
          </rPr>
          <t xml:space="preserve">
don’t write this in an exam its jus for revision 
</t>
        </r>
      </text>
    </comment>
    <comment ref="B25" authorId="0" shapeId="0" xr:uid="{EF511350-5AD6-4D29-95FE-D0C43FE7B60B}">
      <text>
        <r>
          <rPr>
            <b/>
            <sz val="9"/>
            <color indexed="81"/>
            <rFont val="Tahoma"/>
            <family val="2"/>
          </rPr>
          <t>Mlayezeli Mangena:</t>
        </r>
        <r>
          <rPr>
            <sz val="9"/>
            <color indexed="81"/>
            <rFont val="Tahoma"/>
            <family val="2"/>
          </rPr>
          <t xml:space="preserve">
Quite odd Patnerships and dividend ?? But stick to the basic section 16 prohibits dividend as a deduction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Mlayezeli Mangena</author>
  </authors>
  <commentList>
    <comment ref="H6" authorId="0" shapeId="0" xr:uid="{CD9FA633-7A4A-4ABF-9630-FFB72D8EBC13}">
      <text>
        <r>
          <rPr>
            <b/>
            <sz val="9"/>
            <color indexed="81"/>
            <rFont val="Tahoma"/>
            <family val="2"/>
          </rPr>
          <t>Mlayezeli Mangena: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What is the limit it the only portion that will be taxable and deductible </t>
        </r>
      </text>
    </comment>
    <comment ref="C14" authorId="0" shapeId="0" xr:uid="{AF991ACF-8FE6-4B70-BF57-D48806FDD1F4}">
      <text>
        <r>
          <rPr>
            <b/>
            <sz val="9"/>
            <color indexed="81"/>
            <rFont val="Tahoma"/>
            <family val="2"/>
          </rPr>
          <t>Mlayezeli Mangena:</t>
        </r>
        <r>
          <rPr>
            <sz val="9"/>
            <color indexed="81"/>
            <rFont val="Tahoma"/>
            <family val="2"/>
          </rPr>
          <t xml:space="preserve">
Solution error </t>
        </r>
      </text>
    </comment>
    <comment ref="C19" authorId="0" shapeId="0" xr:uid="{3FF2E074-6DD5-4219-9ED2-3997559D6A81}">
      <text>
        <r>
          <rPr>
            <b/>
            <sz val="9"/>
            <color indexed="81"/>
            <rFont val="Tahoma"/>
            <family val="2"/>
          </rPr>
          <t>Mlayezeli Mangena:</t>
        </r>
        <r>
          <rPr>
            <sz val="9"/>
            <color indexed="81"/>
            <rFont val="Tahoma"/>
            <family val="2"/>
          </rPr>
          <t xml:space="preserve">
To confirm current limit on 152(q)
 though am sure there is an element of a disallowed portion.
</t>
        </r>
        <r>
          <rPr>
            <b/>
            <sz val="9"/>
            <color indexed="81"/>
            <rFont val="Tahoma"/>
            <family val="2"/>
          </rPr>
          <t>Tapera Lates</t>
        </r>
        <r>
          <rPr>
            <sz val="9"/>
            <color indexed="81"/>
            <rFont val="Tahoma"/>
            <family val="2"/>
          </rPr>
          <t>t ::26000 per dependent 
Act</t>
        </r>
      </text>
    </comment>
  </commentList>
</comments>
</file>

<file path=xl/sharedStrings.xml><?xml version="1.0" encoding="utf-8"?>
<sst xmlns="http://schemas.openxmlformats.org/spreadsheetml/2006/main" count="190" uniqueCount="156">
  <si>
    <t xml:space="preserve">Computation of Patners Taxable Income </t>
  </si>
  <si>
    <t xml:space="preserve">Computations of the tax Liability due </t>
  </si>
  <si>
    <t xml:space="preserve">Samuel </t>
  </si>
  <si>
    <t xml:space="preserve">David </t>
  </si>
  <si>
    <t xml:space="preserve">Amount </t>
  </si>
  <si>
    <t xml:space="preserve">Details </t>
  </si>
  <si>
    <t xml:space="preserve">Net Profit </t>
  </si>
  <si>
    <t>Drawings</t>
  </si>
  <si>
    <t xml:space="preserve">Not allowed as a deduction </t>
  </si>
  <si>
    <t xml:space="preserve">Not taxable </t>
  </si>
  <si>
    <t xml:space="preserve">section 152g doesn’t apply  hence reverse </t>
  </si>
  <si>
    <t xml:space="preserve">Bad debts </t>
  </si>
  <si>
    <t xml:space="preserve">Resident tex on interest </t>
  </si>
  <si>
    <t xml:space="preserve">Prohibited as a deduction </t>
  </si>
  <si>
    <t xml:space="preserve">less dividends from Delta </t>
  </si>
  <si>
    <t xml:space="preserve">section 14 and 3rd Schedule </t>
  </si>
  <si>
    <t>Note 5</t>
  </si>
  <si>
    <t xml:space="preserve">Provision </t>
  </si>
  <si>
    <t xml:space="preserve">Accounting estimate, not incured </t>
  </si>
  <si>
    <t xml:space="preserve">Unpaid Fees </t>
  </si>
  <si>
    <t>Not proven to be bad (152g)</t>
  </si>
  <si>
    <t xml:space="preserve">Loan to former Manager </t>
  </si>
  <si>
    <t>152g doesn’t apply since its wasn’t initially included in G I</t>
  </si>
  <si>
    <t xml:space="preserve">a) Capital Allowances computation </t>
  </si>
  <si>
    <t xml:space="preserve">Office </t>
  </si>
  <si>
    <t xml:space="preserve">Surgery Equipment </t>
  </si>
  <si>
    <t>Truck Single Cab</t>
  </si>
  <si>
    <t xml:space="preserve">Cost </t>
  </si>
  <si>
    <t xml:space="preserve">Depreciation </t>
  </si>
  <si>
    <t xml:space="preserve">Capital Allowances </t>
  </si>
  <si>
    <t xml:space="preserve">fully exhusted </t>
  </si>
  <si>
    <t xml:space="preserve">Land Cruiser </t>
  </si>
  <si>
    <t xml:space="preserve">Recoupment computation </t>
  </si>
  <si>
    <t xml:space="preserve">Process ( Trade in Value) </t>
  </si>
  <si>
    <t xml:space="preserve">Less Income tax Value of Asset </t>
  </si>
  <si>
    <t xml:space="preserve">Capital Allowance previously granted </t>
  </si>
  <si>
    <t xml:space="preserve">Income tax Value </t>
  </si>
  <si>
    <t xml:space="preserve">Potential recoupment </t>
  </si>
  <si>
    <t>p</t>
  </si>
  <si>
    <t xml:space="preserve">Recoupment </t>
  </si>
  <si>
    <t xml:space="preserve">Recoupment on sale of equipment </t>
  </si>
  <si>
    <t>8(1)(i)</t>
  </si>
  <si>
    <t>Working 1</t>
  </si>
  <si>
    <t>Working 2</t>
  </si>
  <si>
    <t xml:space="preserve">Working 3 </t>
  </si>
  <si>
    <t xml:space="preserve">Scrapping allowance computation </t>
  </si>
  <si>
    <t xml:space="preserve">Sterilizer </t>
  </si>
  <si>
    <t xml:space="preserve">Total Capital Allowances </t>
  </si>
  <si>
    <t xml:space="preserve">Proceeds </t>
  </si>
  <si>
    <t xml:space="preserve">less ITV </t>
  </si>
  <si>
    <t xml:space="preserve">Capital allowances </t>
  </si>
  <si>
    <t xml:space="preserve">Scrapping allowance </t>
  </si>
  <si>
    <t xml:space="preserve">para 4 of the 4th Schedule </t>
  </si>
  <si>
    <t xml:space="preserve">Interest on money borowed to purchase Patnership Share </t>
  </si>
  <si>
    <t xml:space="preserve">Gross income </t>
  </si>
  <si>
    <t xml:space="preserve">Interest on ownership stake </t>
  </si>
  <si>
    <t>RAF Contributions (30000+55000)</t>
  </si>
  <si>
    <t>allowable section 152h</t>
  </si>
  <si>
    <t xml:space="preserve">Raf Contribution </t>
  </si>
  <si>
    <t xml:space="preserve">Capital Allowances for a sedan Vehicle </t>
  </si>
  <si>
    <t xml:space="preserve">Actual Cost </t>
  </si>
  <si>
    <t xml:space="preserve">Deemed cost </t>
  </si>
  <si>
    <t xml:space="preserve">SIA on deemed cost </t>
  </si>
  <si>
    <t xml:space="preserve">90% used for trade hence SIA is applicable </t>
  </si>
  <si>
    <t xml:space="preserve">Capital Allowances on Sedan Vehicle </t>
  </si>
  <si>
    <t xml:space="preserve">152c and 4th Schedule </t>
  </si>
  <si>
    <t xml:space="preserve">Car rental for Patner </t>
  </si>
  <si>
    <t xml:space="preserve">              : Disabled Person Credit </t>
  </si>
  <si>
    <t>Rent from UK ( Source ouside Zimbawe)</t>
  </si>
  <si>
    <t>Dividend from local Company (Exempt</t>
  </si>
  <si>
    <t xml:space="preserve">source outside zim </t>
  </si>
  <si>
    <t xml:space="preserve">exempt 3rd scedhule </t>
  </si>
  <si>
    <t>Credits : Medical Expenses Credit  (6000/2)</t>
  </si>
  <si>
    <t xml:space="preserve">Life Policies </t>
  </si>
  <si>
    <t xml:space="preserve">Medical Benefit </t>
  </si>
  <si>
    <t xml:space="preserve">Motoring Benefit ( Rental) </t>
  </si>
  <si>
    <t xml:space="preserve">               : Medical Benefit Credit </t>
  </si>
  <si>
    <t xml:space="preserve">Taxable Profit </t>
  </si>
  <si>
    <t xml:space="preserve">Share of Profits </t>
  </si>
  <si>
    <t xml:space="preserve">Patnership Taxable Income </t>
  </si>
  <si>
    <t xml:space="preserve">Samuel  </t>
  </si>
  <si>
    <t xml:space="preserve">Interest on capital </t>
  </si>
  <si>
    <t xml:space="preserve">Taxable </t>
  </si>
  <si>
    <t xml:space="preserve">Taxable Payable </t>
  </si>
  <si>
    <t xml:space="preserve">Tax Payable After Credits </t>
  </si>
  <si>
    <t xml:space="preserve">Anuity to dependent of former Employee </t>
  </si>
  <si>
    <t xml:space="preserve">Life Policy where the the patnership is a beneficiary </t>
  </si>
  <si>
    <t>Bank Interest</t>
  </si>
  <si>
    <t xml:space="preserve">3rd Schedule </t>
  </si>
  <si>
    <t xml:space="preserve">deemed disposal on damaged assets </t>
  </si>
  <si>
    <r>
      <rPr>
        <b/>
        <sz val="11"/>
        <color theme="1"/>
        <rFont val="Calibri"/>
        <family val="2"/>
        <scheme val="minor"/>
      </rPr>
      <t>Deductions</t>
    </r>
    <r>
      <rPr>
        <sz val="11"/>
        <color theme="1"/>
        <rFont val="Calibri"/>
        <family val="2"/>
        <scheme val="minor"/>
      </rPr>
      <t xml:space="preserve">  Raf Contributions </t>
    </r>
  </si>
  <si>
    <t xml:space="preserve">Running expenses </t>
  </si>
  <si>
    <t>Car Rental</t>
  </si>
  <si>
    <t xml:space="preserve">Page 217 </t>
  </si>
  <si>
    <t xml:space="preserve">Solution Sabelo Nare Question </t>
  </si>
  <si>
    <t xml:space="preserve">3a) </t>
  </si>
  <si>
    <t>Tax implications of admitting a new patner  (Refer to Excel Notes )</t>
  </si>
  <si>
    <t xml:space="preserve">&gt;a patnership disolution arises when there is a change in the patnership structure of the entity </t>
  </si>
  <si>
    <t xml:space="preserve">&gt; All assets are deemed to be disposed of and any recoupment taxable  </t>
  </si>
  <si>
    <t xml:space="preserve">&gt; The new patner will claim capital allowances on the market values or the transfare value of assets from the date of the patnership change </t>
  </si>
  <si>
    <t xml:space="preserve">&gt;Patnership returns are still prepared for the full year </t>
  </si>
  <si>
    <t xml:space="preserve">3b) </t>
  </si>
  <si>
    <t>A patnership is a conduit pipe through which the tax payer makes income with and is not a separate duristic persons</t>
  </si>
  <si>
    <t xml:space="preserve">Since it does not own any assets hence I does not own any income to be taxable under any tax head </t>
  </si>
  <si>
    <t xml:space="preserve">Compute the patnership Taxable income </t>
  </si>
  <si>
    <t xml:space="preserve">Reason </t>
  </si>
  <si>
    <t>Chamboko</t>
  </si>
  <si>
    <t xml:space="preserve">Khumalo </t>
  </si>
  <si>
    <t xml:space="preserve">Net Revenue </t>
  </si>
  <si>
    <t xml:space="preserve">given </t>
  </si>
  <si>
    <t xml:space="preserve">Dealing with additional Information </t>
  </si>
  <si>
    <t xml:space="preserve">Penaly to ZIMRA </t>
  </si>
  <si>
    <t>prohibited section 16</t>
  </si>
  <si>
    <t xml:space="preserve">Computation of Capital Allowances </t>
  </si>
  <si>
    <t xml:space="preserve">Rate </t>
  </si>
  <si>
    <t xml:space="preserve">Office Furniture </t>
  </si>
  <si>
    <t xml:space="preserve">Office Equipment </t>
  </si>
  <si>
    <t xml:space="preserve">Nissan Hard Body </t>
  </si>
  <si>
    <t xml:space="preserve">Part b talks about minimum tax liability meaning we are claiming the maximum capital allowances , but ideally I would have used wear and tear due to limited information and the fact that we are given ITV </t>
  </si>
  <si>
    <t xml:space="preserve">Drawings - not deductible </t>
  </si>
  <si>
    <t>-</t>
  </si>
  <si>
    <t xml:space="preserve">Drawings </t>
  </si>
  <si>
    <t xml:space="preserve">Not income </t>
  </si>
  <si>
    <t xml:space="preserve">Interest on drawings not deductible </t>
  </si>
  <si>
    <t xml:space="preserve">Capital In nature </t>
  </si>
  <si>
    <t xml:space="preserve">Dealing with their Income statement </t>
  </si>
  <si>
    <t xml:space="preserve">Rentals from south africa </t>
  </si>
  <si>
    <t xml:space="preserve">source not zim </t>
  </si>
  <si>
    <t xml:space="preserve">interest from commercial bank </t>
  </si>
  <si>
    <t xml:space="preserve">exempt 3rd schedule </t>
  </si>
  <si>
    <t xml:space="preserve">Salaries </t>
  </si>
  <si>
    <t>treatment okay</t>
  </si>
  <si>
    <t xml:space="preserve">gross income 81a </t>
  </si>
  <si>
    <t xml:space="preserve">not incured </t>
  </si>
  <si>
    <t xml:space="preserve">Divided declared </t>
  </si>
  <si>
    <t xml:space="preserve">prohibited deduction </t>
  </si>
  <si>
    <t xml:space="preserve">Joint life policy </t>
  </si>
  <si>
    <t xml:space="preserve">Capital in nature </t>
  </si>
  <si>
    <t xml:space="preserve">Business subscriptions </t>
  </si>
  <si>
    <t xml:space="preserve">benefit </t>
  </si>
  <si>
    <t xml:space="preserve">Allowable deductions </t>
  </si>
  <si>
    <t xml:space="preserve">Personal suscriptions </t>
  </si>
  <si>
    <t xml:space="preserve">personal benefit </t>
  </si>
  <si>
    <t xml:space="preserve">Medical contributions </t>
  </si>
  <si>
    <t xml:space="preserve">Credits </t>
  </si>
  <si>
    <t xml:space="preserve">Medical </t>
  </si>
  <si>
    <t xml:space="preserve">section 7 and Finance Act </t>
  </si>
  <si>
    <t xml:space="preserve">Pension contribution </t>
  </si>
  <si>
    <t>Corrected taxable profit</t>
  </si>
  <si>
    <t xml:space="preserve">Share of profits </t>
  </si>
  <si>
    <t xml:space="preserve">Chamboko </t>
  </si>
  <si>
    <t xml:space="preserve">Taxable Income </t>
  </si>
  <si>
    <t xml:space="preserve">Section 152a </t>
  </si>
  <si>
    <t>section 152h</t>
  </si>
  <si>
    <t>Tax *24,72</t>
  </si>
  <si>
    <t>Tax Liabity after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</si>
</sst>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shelf Symbol 7"/>
      <charset val="2"/>
    </font>
    <font>
      <b/>
      <u val="singleAccounting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/>
    <xf numFmtId="43" fontId="0" fillId="0" borderId="0" xfId="1" applyFont="1" applyFill="1"/>
    <xf numFmtId="0" fontId="0" fillId="0" borderId="0" xfId="0" applyFill="1" applyAlignment="1">
      <alignment wrapText="1"/>
    </xf>
    <xf numFmtId="43" fontId="0" fillId="0" borderId="0" xfId="1" applyFont="1" applyFill="1" applyBorder="1"/>
    <xf numFmtId="0" fontId="0" fillId="0" borderId="0" xfId="0" applyFill="1" applyAlignment="1">
      <alignment horizontal="left"/>
    </xf>
    <xf numFmtId="0" fontId="2" fillId="0" borderId="0" xfId="0" applyFont="1" applyFill="1"/>
    <xf numFmtId="43" fontId="0" fillId="0" borderId="0" xfId="0" applyNumberFormat="1" applyFill="1"/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Fill="1" applyBorder="1"/>
    <xf numFmtId="43" fontId="0" fillId="0" borderId="0" xfId="1" applyFont="1" applyFill="1" applyBorder="1" applyAlignment="1">
      <alignment horizontal="left"/>
    </xf>
    <xf numFmtId="43" fontId="0" fillId="0" borderId="6" xfId="1" applyFont="1" applyFill="1" applyBorder="1"/>
    <xf numFmtId="43" fontId="0" fillId="0" borderId="6" xfId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7" xfId="0" applyFill="1" applyBorder="1"/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2" fillId="0" borderId="2" xfId="0" applyFont="1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2" fillId="2" borderId="0" xfId="0" applyFont="1" applyFill="1"/>
    <xf numFmtId="43" fontId="2" fillId="0" borderId="0" xfId="1" applyFont="1" applyFill="1" applyBorder="1"/>
    <xf numFmtId="43" fontId="0" fillId="2" borderId="0" xfId="1" applyFont="1" applyFill="1"/>
    <xf numFmtId="43" fontId="4" fillId="2" borderId="0" xfId="1" applyFont="1" applyFill="1"/>
    <xf numFmtId="43" fontId="0" fillId="0" borderId="8" xfId="0" applyNumberFormat="1" applyFill="1" applyBorder="1"/>
    <xf numFmtId="43" fontId="0" fillId="3" borderId="0" xfId="1" applyFont="1" applyFill="1"/>
    <xf numFmtId="0" fontId="0" fillId="0" borderId="0" xfId="0" applyFont="1" applyFill="1" applyBorder="1"/>
    <xf numFmtId="43" fontId="0" fillId="0" borderId="8" xfId="1" applyFont="1" applyFill="1" applyBorder="1"/>
    <xf numFmtId="43" fontId="0" fillId="3" borderId="0" xfId="1" applyFont="1" applyFill="1" applyBorder="1"/>
    <xf numFmtId="0" fontId="7" fillId="2" borderId="0" xfId="0" applyFont="1" applyFill="1"/>
    <xf numFmtId="0" fontId="8" fillId="2" borderId="0" xfId="0" applyFont="1" applyFill="1"/>
    <xf numFmtId="0" fontId="8" fillId="2" borderId="8" xfId="0" applyFont="1" applyFill="1" applyBorder="1"/>
    <xf numFmtId="0" fontId="7" fillId="2" borderId="8" xfId="0" applyFont="1" applyFill="1" applyBorder="1"/>
    <xf numFmtId="0" fontId="7" fillId="2" borderId="10" xfId="0" applyFont="1" applyFill="1" applyBorder="1"/>
    <xf numFmtId="0" fontId="7" fillId="2" borderId="12" xfId="0" applyFont="1" applyFill="1" applyBorder="1"/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/>
    <xf numFmtId="9" fontId="7" fillId="2" borderId="0" xfId="0" applyNumberFormat="1" applyFont="1" applyFill="1"/>
    <xf numFmtId="43" fontId="7" fillId="2" borderId="0" xfId="1" applyFont="1" applyFill="1" applyAlignment="1">
      <alignment horizontal="left"/>
    </xf>
    <xf numFmtId="0" fontId="9" fillId="2" borderId="0" xfId="0" applyFont="1" applyFill="1" applyAlignment="1">
      <alignment horizontal="left" vertical="top" wrapText="1"/>
    </xf>
    <xf numFmtId="0" fontId="10" fillId="2" borderId="0" xfId="0" applyFont="1" applyFill="1"/>
    <xf numFmtId="0" fontId="7" fillId="2" borderId="12" xfId="0" quotePrefix="1" applyFont="1" applyFill="1" applyBorder="1" applyAlignment="1">
      <alignment horizontal="center"/>
    </xf>
    <xf numFmtId="43" fontId="7" fillId="2" borderId="12" xfId="1" quotePrefix="1" applyFont="1" applyFill="1" applyBorder="1" applyAlignment="1">
      <alignment horizontal="center"/>
    </xf>
    <xf numFmtId="43" fontId="7" fillId="2" borderId="12" xfId="1" applyFont="1" applyFill="1" applyBorder="1"/>
    <xf numFmtId="43" fontId="7" fillId="2" borderId="12" xfId="0" applyNumberFormat="1" applyFont="1" applyFill="1" applyBorder="1"/>
    <xf numFmtId="43" fontId="7" fillId="2" borderId="12" xfId="0" applyNumberFormat="1" applyFont="1" applyFill="1" applyBorder="1" applyAlignment="1">
      <alignment horizontal="center"/>
    </xf>
    <xf numFmtId="0" fontId="7" fillId="2" borderId="13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96B3-649D-4F98-BC06-22AB361F97A9}">
  <dimension ref="B2:V44"/>
  <sheetViews>
    <sheetView tabSelected="1" workbookViewId="0">
      <selection activeCell="M36" sqref="M36"/>
    </sheetView>
  </sheetViews>
  <sheetFormatPr defaultRowHeight="14" x14ac:dyDescent="0.3"/>
  <cols>
    <col min="1" max="5" width="8.7265625" style="40"/>
    <col min="6" max="6" width="9.26953125" style="40" customWidth="1"/>
    <col min="7" max="7" width="13.08984375" style="40" customWidth="1"/>
    <col min="8" max="8" width="18.453125" style="40" customWidth="1"/>
    <col min="9" max="9" width="16" style="40" customWidth="1"/>
    <col min="10" max="19" width="8.7265625" style="40"/>
    <col min="20" max="20" width="24.54296875" style="40" customWidth="1"/>
    <col min="21" max="21" width="17.453125" style="40" customWidth="1"/>
    <col min="22" max="22" width="16.81640625" style="40" customWidth="1"/>
    <col min="23" max="16384" width="8.7265625" style="40"/>
  </cols>
  <sheetData>
    <row r="2" spans="2:22" x14ac:dyDescent="0.3">
      <c r="B2" s="51" t="s">
        <v>94</v>
      </c>
    </row>
    <row r="4" spans="2:22" x14ac:dyDescent="0.3">
      <c r="B4" s="40" t="s">
        <v>95</v>
      </c>
      <c r="C4" s="41" t="s">
        <v>96</v>
      </c>
    </row>
    <row r="5" spans="2:22" x14ac:dyDescent="0.3">
      <c r="C5" s="40" t="s">
        <v>97</v>
      </c>
    </row>
    <row r="6" spans="2:22" x14ac:dyDescent="0.3">
      <c r="C6" s="40" t="s">
        <v>98</v>
      </c>
    </row>
    <row r="7" spans="2:22" x14ac:dyDescent="0.3">
      <c r="C7" s="40" t="s">
        <v>99</v>
      </c>
    </row>
    <row r="8" spans="2:22" x14ac:dyDescent="0.3">
      <c r="C8" s="40" t="s">
        <v>100</v>
      </c>
    </row>
    <row r="10" spans="2:22" x14ac:dyDescent="0.3">
      <c r="B10" s="40" t="s">
        <v>101</v>
      </c>
      <c r="C10" s="40" t="s">
        <v>102</v>
      </c>
    </row>
    <row r="11" spans="2:22" x14ac:dyDescent="0.3">
      <c r="C11" s="40" t="s">
        <v>103</v>
      </c>
    </row>
    <row r="14" spans="2:22" ht="14.5" thickBot="1" x14ac:dyDescent="0.35">
      <c r="B14" s="42" t="s">
        <v>104</v>
      </c>
      <c r="C14" s="43"/>
      <c r="D14" s="43"/>
      <c r="E14" s="43"/>
      <c r="F14" s="43"/>
      <c r="G14" s="43"/>
      <c r="H14" s="43"/>
      <c r="I14" s="43"/>
      <c r="N14" s="42" t="s">
        <v>104</v>
      </c>
      <c r="O14" s="43"/>
      <c r="P14" s="43"/>
      <c r="Q14" s="43"/>
      <c r="R14" s="43"/>
      <c r="S14" s="43"/>
      <c r="T14" s="43"/>
      <c r="U14" s="43"/>
    </row>
    <row r="15" spans="2:22" ht="14.5" thickBot="1" x14ac:dyDescent="0.35">
      <c r="B15" s="47" t="s">
        <v>5</v>
      </c>
      <c r="C15" s="44"/>
      <c r="D15" s="44"/>
      <c r="E15" s="44"/>
      <c r="F15" s="44"/>
      <c r="G15" s="44"/>
      <c r="H15" s="46" t="s">
        <v>105</v>
      </c>
      <c r="I15" s="46" t="s">
        <v>4</v>
      </c>
      <c r="N15" s="47" t="s">
        <v>5</v>
      </c>
      <c r="O15" s="44"/>
      <c r="P15" s="44"/>
      <c r="Q15" s="44"/>
      <c r="R15" s="44"/>
      <c r="S15" s="44"/>
      <c r="T15" s="46" t="s">
        <v>105</v>
      </c>
      <c r="U15" s="46" t="s">
        <v>106</v>
      </c>
      <c r="V15" s="46" t="s">
        <v>107</v>
      </c>
    </row>
    <row r="16" spans="2:22" x14ac:dyDescent="0.3">
      <c r="B16" s="40" t="s">
        <v>108</v>
      </c>
      <c r="H16" s="45" t="s">
        <v>109</v>
      </c>
      <c r="I16" s="54">
        <v>4468</v>
      </c>
      <c r="N16" s="40" t="s">
        <v>121</v>
      </c>
      <c r="T16" s="45" t="s">
        <v>122</v>
      </c>
      <c r="U16" s="53" t="s">
        <v>120</v>
      </c>
      <c r="V16" s="53" t="s">
        <v>120</v>
      </c>
    </row>
    <row r="17" spans="2:22" x14ac:dyDescent="0.3">
      <c r="B17" s="51" t="s">
        <v>110</v>
      </c>
      <c r="H17" s="45"/>
      <c r="I17" s="54"/>
      <c r="N17" s="40" t="s">
        <v>123</v>
      </c>
      <c r="T17" s="45" t="s">
        <v>124</v>
      </c>
      <c r="U17" s="53" t="s">
        <v>120</v>
      </c>
      <c r="V17" s="53" t="s">
        <v>120</v>
      </c>
    </row>
    <row r="18" spans="2:22" x14ac:dyDescent="0.3">
      <c r="B18" s="40" t="s">
        <v>111</v>
      </c>
      <c r="H18" s="45" t="s">
        <v>112</v>
      </c>
      <c r="I18" s="54">
        <v>150</v>
      </c>
      <c r="N18" s="40" t="s">
        <v>130</v>
      </c>
      <c r="T18" s="45" t="s">
        <v>132</v>
      </c>
      <c r="U18" s="54">
        <v>3000</v>
      </c>
      <c r="V18" s="54">
        <v>3500</v>
      </c>
    </row>
    <row r="19" spans="2:22" x14ac:dyDescent="0.3">
      <c r="B19" s="40" t="s">
        <v>119</v>
      </c>
      <c r="H19" s="52" t="s">
        <v>120</v>
      </c>
      <c r="I19" s="53" t="s">
        <v>120</v>
      </c>
      <c r="N19" s="40" t="s">
        <v>138</v>
      </c>
      <c r="T19" s="45" t="s">
        <v>139</v>
      </c>
      <c r="U19" s="45">
        <v>150</v>
      </c>
      <c r="V19" s="45">
        <v>150</v>
      </c>
    </row>
    <row r="20" spans="2:22" x14ac:dyDescent="0.3">
      <c r="B20" s="51" t="s">
        <v>125</v>
      </c>
      <c r="H20" s="45"/>
      <c r="I20" s="54"/>
      <c r="N20" s="40" t="s">
        <v>141</v>
      </c>
      <c r="T20" s="45" t="s">
        <v>142</v>
      </c>
      <c r="U20" s="45">
        <v>100</v>
      </c>
      <c r="V20" s="45">
        <v>130</v>
      </c>
    </row>
    <row r="21" spans="2:22" x14ac:dyDescent="0.3">
      <c r="B21" s="40" t="s">
        <v>126</v>
      </c>
      <c r="H21" s="45" t="s">
        <v>127</v>
      </c>
      <c r="I21" s="54">
        <v>-600</v>
      </c>
      <c r="N21" s="40" t="s">
        <v>143</v>
      </c>
      <c r="T21" s="45" t="s">
        <v>139</v>
      </c>
      <c r="U21" s="54">
        <v>360</v>
      </c>
      <c r="V21" s="54">
        <v>300</v>
      </c>
    </row>
    <row r="22" spans="2:22" x14ac:dyDescent="0.3">
      <c r="B22" s="40" t="s">
        <v>128</v>
      </c>
      <c r="H22" s="45" t="s">
        <v>129</v>
      </c>
      <c r="I22" s="54">
        <v>-58</v>
      </c>
      <c r="N22" s="40" t="s">
        <v>147</v>
      </c>
      <c r="T22" s="45" t="s">
        <v>139</v>
      </c>
      <c r="U22" s="45">
        <v>240</v>
      </c>
      <c r="V22" s="45">
        <v>180</v>
      </c>
    </row>
    <row r="23" spans="2:22" x14ac:dyDescent="0.3">
      <c r="B23" s="40" t="s">
        <v>130</v>
      </c>
      <c r="H23" s="45" t="s">
        <v>131</v>
      </c>
      <c r="I23" s="54">
        <v>0</v>
      </c>
      <c r="N23" s="40" t="s">
        <v>149</v>
      </c>
      <c r="T23" s="45"/>
      <c r="U23" s="56">
        <f>H28</f>
        <v>4650</v>
      </c>
      <c r="V23" s="56">
        <f>H29</f>
        <v>3100</v>
      </c>
    </row>
    <row r="24" spans="2:22" x14ac:dyDescent="0.3">
      <c r="B24" s="40" t="s">
        <v>28</v>
      </c>
      <c r="H24" s="45" t="s">
        <v>133</v>
      </c>
      <c r="I24" s="45">
        <v>790</v>
      </c>
      <c r="T24" s="45"/>
      <c r="U24" s="45"/>
      <c r="V24" s="45"/>
    </row>
    <row r="25" spans="2:22" x14ac:dyDescent="0.3">
      <c r="B25" s="40" t="s">
        <v>134</v>
      </c>
      <c r="H25" s="45" t="s">
        <v>135</v>
      </c>
      <c r="I25" s="45">
        <v>2000</v>
      </c>
      <c r="N25" s="51" t="s">
        <v>140</v>
      </c>
      <c r="T25" s="45"/>
      <c r="U25" s="45"/>
      <c r="V25" s="45"/>
    </row>
    <row r="26" spans="2:22" x14ac:dyDescent="0.3">
      <c r="B26" s="40" t="s">
        <v>136</v>
      </c>
      <c r="H26" s="45" t="s">
        <v>137</v>
      </c>
      <c r="I26" s="45">
        <v>1000</v>
      </c>
      <c r="N26" s="40" t="s">
        <v>138</v>
      </c>
      <c r="T26" s="45" t="s">
        <v>152</v>
      </c>
      <c r="U26" s="45">
        <f>-U21</f>
        <v>-360</v>
      </c>
      <c r="V26" s="45">
        <f>-V21</f>
        <v>-300</v>
      </c>
    </row>
    <row r="27" spans="2:22" ht="14.5" thickBot="1" x14ac:dyDescent="0.35">
      <c r="B27" s="41" t="s">
        <v>148</v>
      </c>
      <c r="H27" s="45"/>
      <c r="I27" s="55">
        <f>SUM(I16:I26)</f>
        <v>7750</v>
      </c>
      <c r="N27" s="40" t="s">
        <v>147</v>
      </c>
      <c r="T27" s="45" t="s">
        <v>153</v>
      </c>
      <c r="U27" s="57">
        <v>-240</v>
      </c>
      <c r="V27" s="57">
        <v>-240</v>
      </c>
    </row>
    <row r="28" spans="2:22" x14ac:dyDescent="0.3">
      <c r="B28" s="40" t="s">
        <v>149</v>
      </c>
      <c r="E28" s="40" t="s">
        <v>150</v>
      </c>
      <c r="H28" s="55">
        <f>(3/5)*I27</f>
        <v>4650</v>
      </c>
      <c r="I28" s="45"/>
      <c r="N28" s="40" t="s">
        <v>151</v>
      </c>
      <c r="T28" s="45"/>
      <c r="U28" s="56">
        <f>SUM(U16:U27)</f>
        <v>7900</v>
      </c>
      <c r="V28" s="56">
        <f>SUM(V16:V27)</f>
        <v>6820</v>
      </c>
    </row>
    <row r="29" spans="2:22" x14ac:dyDescent="0.3">
      <c r="E29" s="40" t="s">
        <v>107</v>
      </c>
      <c r="H29" s="55">
        <f>-H28+I27</f>
        <v>3100</v>
      </c>
      <c r="I29" s="55">
        <f>SUM(H28:H29)</f>
        <v>7750</v>
      </c>
      <c r="N29" s="40" t="s">
        <v>154</v>
      </c>
      <c r="T29" s="45"/>
      <c r="U29" s="55">
        <f>0.2472*U28</f>
        <v>1952.88</v>
      </c>
      <c r="V29" s="55">
        <f>0.2472*V28</f>
        <v>1685.904</v>
      </c>
    </row>
    <row r="30" spans="2:22" x14ac:dyDescent="0.3">
      <c r="H30" s="45"/>
      <c r="I30" s="45"/>
      <c r="T30" s="45"/>
      <c r="U30" s="45"/>
      <c r="V30" s="45"/>
    </row>
    <row r="31" spans="2:22" x14ac:dyDescent="0.3">
      <c r="H31" s="45"/>
      <c r="I31" s="45"/>
      <c r="N31" s="41" t="s">
        <v>144</v>
      </c>
      <c r="T31" s="45"/>
      <c r="U31" s="45"/>
      <c r="V31" s="45"/>
    </row>
    <row r="32" spans="2:22" x14ac:dyDescent="0.3">
      <c r="H32" s="45"/>
      <c r="I32" s="45"/>
      <c r="N32" s="40" t="s">
        <v>145</v>
      </c>
      <c r="T32" s="45" t="s">
        <v>146</v>
      </c>
      <c r="U32" s="55">
        <f>0.5*U21</f>
        <v>180</v>
      </c>
      <c r="V32" s="55">
        <f>0.5*V21</f>
        <v>150</v>
      </c>
    </row>
    <row r="33" spans="2:22" x14ac:dyDescent="0.3">
      <c r="H33" s="45"/>
      <c r="I33" s="45"/>
      <c r="N33" s="40" t="s">
        <v>155</v>
      </c>
      <c r="T33" s="45"/>
      <c r="U33" s="55">
        <f>SUM(U29:U32)</f>
        <v>2132.88</v>
      </c>
      <c r="V33" s="55">
        <f>SUM(V29:V32)</f>
        <v>1835.904</v>
      </c>
    </row>
    <row r="35" spans="2:22" ht="14.5" thickBot="1" x14ac:dyDescent="0.35">
      <c r="B35" s="42" t="s">
        <v>113</v>
      </c>
      <c r="C35" s="43"/>
      <c r="D35" s="43"/>
      <c r="E35" s="43"/>
      <c r="F35" s="43"/>
      <c r="G35" s="43"/>
      <c r="H35" s="43"/>
      <c r="I35" s="43"/>
    </row>
    <row r="36" spans="2:22" ht="14.5" thickBot="1" x14ac:dyDescent="0.35">
      <c r="B36" s="42" t="s">
        <v>5</v>
      </c>
      <c r="C36" s="42"/>
      <c r="D36" s="42"/>
      <c r="E36" s="42"/>
      <c r="F36" s="42"/>
      <c r="G36" s="42" t="s">
        <v>27</v>
      </c>
      <c r="H36" s="42" t="s">
        <v>114</v>
      </c>
      <c r="I36" s="42" t="s">
        <v>29</v>
      </c>
    </row>
    <row r="38" spans="2:22" x14ac:dyDescent="0.3">
      <c r="B38" s="40" t="s">
        <v>115</v>
      </c>
      <c r="G38" s="49">
        <v>600</v>
      </c>
      <c r="H38" s="48">
        <v>0.25</v>
      </c>
      <c r="I38" s="40">
        <f t="shared" ref="I38:I39" si="0">G38*H38</f>
        <v>150</v>
      </c>
    </row>
    <row r="39" spans="2:22" x14ac:dyDescent="0.3">
      <c r="B39" s="40" t="s">
        <v>116</v>
      </c>
      <c r="G39" s="49">
        <v>1500</v>
      </c>
      <c r="H39" s="48">
        <v>0.25</v>
      </c>
      <c r="I39" s="40">
        <f t="shared" si="0"/>
        <v>375</v>
      </c>
    </row>
    <row r="40" spans="2:22" x14ac:dyDescent="0.3">
      <c r="B40" s="40" t="s">
        <v>117</v>
      </c>
      <c r="G40" s="49">
        <v>20000</v>
      </c>
      <c r="H40" s="48">
        <v>0.25</v>
      </c>
      <c r="I40" s="40">
        <f>G40*H40</f>
        <v>5000</v>
      </c>
    </row>
    <row r="42" spans="2:22" x14ac:dyDescent="0.3">
      <c r="B42" s="50" t="s">
        <v>118</v>
      </c>
      <c r="C42" s="50"/>
      <c r="D42" s="50"/>
      <c r="E42" s="50"/>
      <c r="F42" s="50"/>
      <c r="G42" s="50"/>
      <c r="H42" s="50"/>
      <c r="I42" s="50"/>
    </row>
    <row r="43" spans="2:22" x14ac:dyDescent="0.3">
      <c r="B43" s="50"/>
      <c r="C43" s="50"/>
      <c r="D43" s="50"/>
      <c r="E43" s="50"/>
      <c r="F43" s="50"/>
      <c r="G43" s="50"/>
      <c r="H43" s="50"/>
      <c r="I43" s="50"/>
    </row>
    <row r="44" spans="2:22" x14ac:dyDescent="0.3">
      <c r="B44" s="50"/>
      <c r="C44" s="50"/>
      <c r="D44" s="50"/>
      <c r="E44" s="50"/>
      <c r="F44" s="50"/>
      <c r="G44" s="50"/>
      <c r="H44" s="50"/>
      <c r="I44" s="50"/>
    </row>
  </sheetData>
  <mergeCells count="1">
    <mergeCell ref="B42:I44"/>
  </mergeCells>
  <pageMargins left="0.7" right="0.7" top="0.75" bottom="0.75" header="0.3" footer="0.3"/>
  <pageSetup paperSize="9" orientation="portrait" horizontalDpi="30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B01A-C4BC-4B23-9F89-7B88B1F70C3B}">
  <dimension ref="A1:K70"/>
  <sheetViews>
    <sheetView topLeftCell="A54" zoomScale="90" zoomScaleNormal="90" workbookViewId="0">
      <selection activeCell="B69" sqref="B69"/>
    </sheetView>
  </sheetViews>
  <sheetFormatPr defaultRowHeight="14.5" x14ac:dyDescent="0.35"/>
  <cols>
    <col min="1" max="1" width="50" style="1" customWidth="1"/>
    <col min="2" max="2" width="38.6328125" style="1" customWidth="1"/>
    <col min="3" max="3" width="21.08984375" style="1" customWidth="1"/>
    <col min="4" max="4" width="8.7265625" style="1"/>
    <col min="5" max="5" width="48.36328125" style="1" customWidth="1"/>
    <col min="6" max="6" width="20.26953125" style="1" customWidth="1"/>
    <col min="7" max="7" width="11.1796875" style="1" bestFit="1" customWidth="1"/>
    <col min="8" max="8" width="15.36328125" style="1" customWidth="1"/>
    <col min="9" max="16384" width="8.7265625" style="1"/>
  </cols>
  <sheetData>
    <row r="1" spans="1:11" x14ac:dyDescent="0.35">
      <c r="A1" s="1" t="s">
        <v>0</v>
      </c>
      <c r="E1" s="1" t="s">
        <v>1</v>
      </c>
    </row>
    <row r="2" spans="1:11" x14ac:dyDescent="0.35">
      <c r="A2" s="2" t="s">
        <v>5</v>
      </c>
      <c r="B2" s="2"/>
      <c r="C2" s="2" t="s">
        <v>4</v>
      </c>
      <c r="E2" s="2"/>
      <c r="F2" s="2"/>
      <c r="G2" s="2" t="s">
        <v>2</v>
      </c>
      <c r="H2" s="2" t="s">
        <v>3</v>
      </c>
    </row>
    <row r="3" spans="1:11" x14ac:dyDescent="0.35">
      <c r="A3" s="3" t="s">
        <v>6</v>
      </c>
      <c r="B3" s="3"/>
      <c r="C3" s="6">
        <v>181000</v>
      </c>
      <c r="E3" s="3" t="s">
        <v>81</v>
      </c>
      <c r="F3" s="3" t="s">
        <v>82</v>
      </c>
      <c r="G3" s="13">
        <v>4400</v>
      </c>
      <c r="H3" s="13">
        <v>4800</v>
      </c>
    </row>
    <row r="4" spans="1:11" x14ac:dyDescent="0.35">
      <c r="A4" s="3" t="s">
        <v>7</v>
      </c>
      <c r="B4" s="3" t="s">
        <v>8</v>
      </c>
      <c r="C4" s="6">
        <v>0</v>
      </c>
      <c r="E4" s="3" t="s">
        <v>7</v>
      </c>
      <c r="F4" s="3" t="s">
        <v>9</v>
      </c>
      <c r="G4" s="6">
        <v>0</v>
      </c>
      <c r="H4" s="6">
        <v>0</v>
      </c>
    </row>
    <row r="5" spans="1:11" x14ac:dyDescent="0.35">
      <c r="A5" s="3" t="s">
        <v>28</v>
      </c>
      <c r="B5" s="3" t="s">
        <v>18</v>
      </c>
      <c r="C5" s="36">
        <v>86000</v>
      </c>
      <c r="E5" s="3"/>
      <c r="F5" s="3"/>
      <c r="G5" s="6"/>
      <c r="H5" s="6">
        <v>0</v>
      </c>
    </row>
    <row r="6" spans="1:11" x14ac:dyDescent="0.35">
      <c r="A6" s="3" t="s">
        <v>11</v>
      </c>
      <c r="B6" s="3" t="s">
        <v>10</v>
      </c>
      <c r="C6" s="36">
        <v>-6000</v>
      </c>
      <c r="E6" s="4" t="s">
        <v>58</v>
      </c>
      <c r="F6" s="3"/>
      <c r="G6" s="6">
        <v>30000</v>
      </c>
      <c r="H6" s="6">
        <v>55000</v>
      </c>
    </row>
    <row r="7" spans="1:11" x14ac:dyDescent="0.35">
      <c r="A7" s="4" t="s">
        <v>12</v>
      </c>
      <c r="B7" s="3" t="s">
        <v>13</v>
      </c>
      <c r="C7" s="8">
        <v>0</v>
      </c>
      <c r="E7" s="4" t="s">
        <v>68</v>
      </c>
      <c r="F7" s="4" t="s">
        <v>70</v>
      </c>
      <c r="G7" s="8">
        <v>0</v>
      </c>
      <c r="H7" s="8">
        <v>0</v>
      </c>
    </row>
    <row r="8" spans="1:11" x14ac:dyDescent="0.35">
      <c r="A8" s="4" t="s">
        <v>14</v>
      </c>
      <c r="B8" s="4" t="s">
        <v>15</v>
      </c>
      <c r="C8" s="8">
        <v>-900</v>
      </c>
      <c r="E8" s="4" t="s">
        <v>69</v>
      </c>
      <c r="F8" s="4" t="s">
        <v>71</v>
      </c>
      <c r="G8" s="8">
        <v>0</v>
      </c>
      <c r="H8" s="8">
        <v>0</v>
      </c>
    </row>
    <row r="9" spans="1:11" x14ac:dyDescent="0.35">
      <c r="A9" s="5" t="s">
        <v>16</v>
      </c>
      <c r="B9" s="3"/>
      <c r="C9" s="6"/>
      <c r="E9" s="4" t="s">
        <v>73</v>
      </c>
      <c r="F9" s="3"/>
      <c r="G9" s="39">
        <v>1600</v>
      </c>
      <c r="H9" s="39">
        <v>1000</v>
      </c>
    </row>
    <row r="10" spans="1:11" x14ac:dyDescent="0.35">
      <c r="A10" s="4" t="s">
        <v>17</v>
      </c>
      <c r="B10" s="3" t="s">
        <v>18</v>
      </c>
      <c r="C10" s="36">
        <v>4300</v>
      </c>
      <c r="E10" s="4" t="s">
        <v>74</v>
      </c>
      <c r="F10" s="3"/>
      <c r="G10" s="39">
        <v>5200</v>
      </c>
      <c r="H10" s="39">
        <v>3200</v>
      </c>
    </row>
    <row r="11" spans="1:11" x14ac:dyDescent="0.35">
      <c r="A11" s="4" t="s">
        <v>19</v>
      </c>
      <c r="B11" s="3" t="s">
        <v>20</v>
      </c>
      <c r="C11" s="6">
        <v>0</v>
      </c>
      <c r="E11" s="4" t="s">
        <v>78</v>
      </c>
      <c r="F11" s="3"/>
      <c r="G11" s="11">
        <f>C26</f>
        <v>133320</v>
      </c>
      <c r="H11" s="11">
        <f>C27</f>
        <v>88880</v>
      </c>
    </row>
    <row r="12" spans="1:11" ht="29" x14ac:dyDescent="0.35">
      <c r="A12" s="4" t="s">
        <v>21</v>
      </c>
      <c r="B12" s="7" t="s">
        <v>22</v>
      </c>
      <c r="C12" s="36">
        <v>2800</v>
      </c>
      <c r="E12" s="4" t="s">
        <v>90</v>
      </c>
      <c r="F12" s="3"/>
      <c r="G12" s="11">
        <f>-G6</f>
        <v>-30000</v>
      </c>
      <c r="H12" s="11">
        <f>-H6</f>
        <v>-55000</v>
      </c>
    </row>
    <row r="13" spans="1:11" x14ac:dyDescent="0.35">
      <c r="A13" s="4" t="s">
        <v>40</v>
      </c>
      <c r="B13" s="3" t="s">
        <v>41</v>
      </c>
      <c r="C13" s="6">
        <v>40000</v>
      </c>
      <c r="E13" s="4" t="s">
        <v>64</v>
      </c>
      <c r="F13" s="3" t="s">
        <v>65</v>
      </c>
      <c r="G13" s="6"/>
      <c r="H13" s="6">
        <v>-2500</v>
      </c>
    </row>
    <row r="14" spans="1:11" x14ac:dyDescent="0.35">
      <c r="A14" s="4" t="s">
        <v>51</v>
      </c>
      <c r="B14" s="3" t="s">
        <v>52</v>
      </c>
      <c r="C14" s="6">
        <v>-400</v>
      </c>
      <c r="E14" s="3" t="s">
        <v>55</v>
      </c>
      <c r="F14" s="3"/>
      <c r="G14" s="6">
        <v>-12000</v>
      </c>
      <c r="H14" s="11"/>
    </row>
    <row r="15" spans="1:11" x14ac:dyDescent="0.35">
      <c r="A15" s="4" t="s">
        <v>53</v>
      </c>
      <c r="B15" s="3" t="s">
        <v>54</v>
      </c>
      <c r="C15" s="6">
        <v>12000</v>
      </c>
      <c r="E15" s="37" t="s">
        <v>91</v>
      </c>
      <c r="F15" s="3"/>
      <c r="G15" s="11"/>
      <c r="H15" s="6">
        <v>-5400</v>
      </c>
      <c r="K15" s="31" t="s">
        <v>89</v>
      </c>
    </row>
    <row r="16" spans="1:11" ht="15" thickBot="1" x14ac:dyDescent="0.4">
      <c r="A16" s="4" t="s">
        <v>56</v>
      </c>
      <c r="B16" s="3" t="s">
        <v>57</v>
      </c>
      <c r="C16" s="6">
        <v>-85000</v>
      </c>
      <c r="E16" s="37" t="s">
        <v>92</v>
      </c>
      <c r="F16" s="3"/>
      <c r="G16" s="29"/>
      <c r="H16" s="38">
        <v>-10000</v>
      </c>
    </row>
    <row r="17" spans="1:8" x14ac:dyDescent="0.35">
      <c r="A17" s="4" t="s">
        <v>64</v>
      </c>
      <c r="B17" s="3" t="s">
        <v>65</v>
      </c>
      <c r="C17" s="6">
        <v>-2500</v>
      </c>
      <c r="E17" s="5" t="s">
        <v>77</v>
      </c>
      <c r="F17" s="3"/>
      <c r="G17" s="11">
        <f>SUM(G9:G16)</f>
        <v>98120</v>
      </c>
      <c r="H17" s="11">
        <f>SUM(H9:H16)</f>
        <v>20180</v>
      </c>
    </row>
    <row r="18" spans="1:8" x14ac:dyDescent="0.35">
      <c r="A18" s="4" t="s">
        <v>66</v>
      </c>
      <c r="B18" s="3" t="s">
        <v>75</v>
      </c>
      <c r="C18" s="6">
        <f>-900*6</f>
        <v>-5400</v>
      </c>
      <c r="E18" s="5" t="s">
        <v>83</v>
      </c>
      <c r="F18" s="3"/>
      <c r="G18" s="11">
        <f>G17*0.2472</f>
        <v>24255.263999999999</v>
      </c>
      <c r="H18" s="11">
        <f>H17*0.2472</f>
        <v>4988.4960000000001</v>
      </c>
    </row>
    <row r="19" spans="1:8" x14ac:dyDescent="0.35">
      <c r="A19" s="4" t="s">
        <v>85</v>
      </c>
      <c r="B19" s="3"/>
      <c r="C19" s="6"/>
      <c r="E19" s="3" t="s">
        <v>72</v>
      </c>
      <c r="F19" s="3"/>
      <c r="G19" s="3"/>
      <c r="H19" s="3">
        <v>3000</v>
      </c>
    </row>
    <row r="20" spans="1:8" x14ac:dyDescent="0.35">
      <c r="A20" s="4" t="s">
        <v>86</v>
      </c>
      <c r="B20" s="3" t="s">
        <v>8</v>
      </c>
      <c r="C20" s="36">
        <v>3800</v>
      </c>
      <c r="E20" s="3" t="s">
        <v>67</v>
      </c>
      <c r="F20" s="3"/>
      <c r="G20" s="3"/>
      <c r="H20" s="3">
        <v>900</v>
      </c>
    </row>
    <row r="21" spans="1:8" ht="15" thickBot="1" x14ac:dyDescent="0.4">
      <c r="A21" s="4" t="s">
        <v>87</v>
      </c>
      <c r="B21" s="3" t="s">
        <v>88</v>
      </c>
      <c r="C21" s="36">
        <v>-7500</v>
      </c>
      <c r="E21" s="3" t="s">
        <v>76</v>
      </c>
      <c r="F21" s="3"/>
      <c r="G21" s="35">
        <f>G13/2</f>
        <v>0</v>
      </c>
      <c r="H21" s="35">
        <f>H13/2</f>
        <v>-1250</v>
      </c>
    </row>
    <row r="22" spans="1:8" x14ac:dyDescent="0.35">
      <c r="A22" s="3"/>
      <c r="B22" s="3"/>
      <c r="C22" s="3"/>
      <c r="E22" s="10" t="s">
        <v>84</v>
      </c>
      <c r="F22" s="3"/>
      <c r="G22" s="6">
        <f>G18-SUM(G19:G21)</f>
        <v>24255.263999999999</v>
      </c>
      <c r="H22" s="6">
        <f>H18-SUM(H19:H21)</f>
        <v>2338.4960000000001</v>
      </c>
    </row>
    <row r="23" spans="1:8" x14ac:dyDescent="0.35">
      <c r="A23" s="3"/>
      <c r="B23" s="3"/>
      <c r="C23" s="3"/>
      <c r="E23" s="3"/>
      <c r="F23" s="3"/>
      <c r="G23" s="3"/>
      <c r="H23" s="3"/>
    </row>
    <row r="24" spans="1:8" x14ac:dyDescent="0.35">
      <c r="A24" s="4" t="s">
        <v>79</v>
      </c>
      <c r="B24" s="3"/>
      <c r="C24" s="6">
        <f>SUM(C3:C21)</f>
        <v>222200</v>
      </c>
      <c r="E24" s="3"/>
      <c r="F24" s="3"/>
      <c r="G24" s="3"/>
      <c r="H24" s="3"/>
    </row>
    <row r="25" spans="1:8" x14ac:dyDescent="0.35">
      <c r="A25" s="5" t="s">
        <v>78</v>
      </c>
      <c r="B25" s="3"/>
      <c r="C25" s="3"/>
      <c r="E25" s="3"/>
      <c r="F25" s="3"/>
      <c r="G25" s="3"/>
      <c r="H25" s="3"/>
    </row>
    <row r="26" spans="1:8" x14ac:dyDescent="0.35">
      <c r="A26" s="4" t="s">
        <v>80</v>
      </c>
      <c r="B26" s="3"/>
      <c r="C26" s="11">
        <f>0.6*C24</f>
        <v>133320</v>
      </c>
      <c r="E26" s="3"/>
      <c r="F26" s="3"/>
      <c r="G26" s="3"/>
      <c r="H26" s="3"/>
    </row>
    <row r="27" spans="1:8" x14ac:dyDescent="0.35">
      <c r="A27" s="4" t="s">
        <v>3</v>
      </c>
      <c r="B27" s="3"/>
      <c r="C27" s="11">
        <f>C24-C26</f>
        <v>88880</v>
      </c>
      <c r="E27" s="3"/>
      <c r="F27" s="3"/>
      <c r="G27" s="3"/>
      <c r="H27" s="3"/>
    </row>
    <row r="28" spans="1:8" ht="15" thickBot="1" x14ac:dyDescent="0.4">
      <c r="A28" s="10" t="s">
        <v>42</v>
      </c>
      <c r="B28" s="3"/>
      <c r="C28" s="3"/>
      <c r="E28" s="3"/>
      <c r="F28" s="3"/>
      <c r="G28" s="3"/>
      <c r="H28" s="3"/>
    </row>
    <row r="29" spans="1:8" x14ac:dyDescent="0.35">
      <c r="A29" s="14" t="s">
        <v>23</v>
      </c>
      <c r="B29" s="15" t="s">
        <v>27</v>
      </c>
      <c r="C29" s="16" t="s">
        <v>29</v>
      </c>
      <c r="E29" s="3"/>
      <c r="F29" s="3"/>
      <c r="G29" s="3"/>
      <c r="H29" s="3"/>
    </row>
    <row r="30" spans="1:8" x14ac:dyDescent="0.35">
      <c r="A30" s="17" t="s">
        <v>24</v>
      </c>
      <c r="B30" s="18">
        <v>15000</v>
      </c>
      <c r="C30" s="19" t="s">
        <v>30</v>
      </c>
      <c r="E30" s="3"/>
      <c r="F30" s="3"/>
      <c r="G30" s="3"/>
      <c r="H30" s="3"/>
    </row>
    <row r="31" spans="1:8" x14ac:dyDescent="0.35">
      <c r="A31" s="17" t="s">
        <v>25</v>
      </c>
      <c r="B31" s="18">
        <v>70000</v>
      </c>
      <c r="C31" s="20">
        <f>B31*0.25</f>
        <v>17500</v>
      </c>
      <c r="E31" s="3"/>
      <c r="F31" s="3"/>
      <c r="G31" s="3"/>
      <c r="H31" s="3"/>
    </row>
    <row r="32" spans="1:8" x14ac:dyDescent="0.35">
      <c r="A32" s="17" t="s">
        <v>26</v>
      </c>
      <c r="B32" s="18">
        <v>70000</v>
      </c>
      <c r="C32" s="19" t="s">
        <v>30</v>
      </c>
      <c r="E32" s="3"/>
      <c r="F32" s="3"/>
      <c r="G32" s="3"/>
      <c r="H32" s="3"/>
    </row>
    <row r="33" spans="1:8" x14ac:dyDescent="0.35">
      <c r="A33" s="17" t="s">
        <v>31</v>
      </c>
      <c r="B33" s="18">
        <v>50000</v>
      </c>
      <c r="C33" s="20">
        <f>B33*0.25</f>
        <v>12500</v>
      </c>
      <c r="E33" s="3"/>
      <c r="F33" s="3"/>
      <c r="G33" s="3"/>
      <c r="H33" s="3"/>
    </row>
    <row r="34" spans="1:8" x14ac:dyDescent="0.35">
      <c r="A34" s="17" t="s">
        <v>46</v>
      </c>
      <c r="B34" s="18">
        <v>10000</v>
      </c>
      <c r="C34" s="20">
        <f>B34*0.25</f>
        <v>2500</v>
      </c>
      <c r="E34" s="3"/>
      <c r="F34" s="3"/>
      <c r="G34" s="3"/>
      <c r="H34" s="3"/>
    </row>
    <row r="35" spans="1:8" x14ac:dyDescent="0.35">
      <c r="A35" s="17"/>
      <c r="B35" s="21"/>
      <c r="C35" s="20"/>
      <c r="E35" s="3"/>
      <c r="F35" s="3"/>
      <c r="G35" s="3"/>
      <c r="H35" s="3"/>
    </row>
    <row r="36" spans="1:8" x14ac:dyDescent="0.35">
      <c r="A36" s="17" t="s">
        <v>47</v>
      </c>
      <c r="B36" s="21"/>
      <c r="C36" s="20">
        <f>C31+C33+C34</f>
        <v>32500</v>
      </c>
      <c r="E36" s="3"/>
      <c r="F36" s="3"/>
      <c r="G36" s="3"/>
      <c r="H36" s="3"/>
    </row>
    <row r="37" spans="1:8" ht="15" thickBot="1" x14ac:dyDescent="0.4">
      <c r="A37" s="22"/>
      <c r="B37" s="23"/>
      <c r="C37" s="24"/>
      <c r="E37" s="3"/>
      <c r="F37" s="3"/>
      <c r="G37" s="3"/>
      <c r="H37" s="3"/>
    </row>
    <row r="38" spans="1:8" x14ac:dyDescent="0.35">
      <c r="A38" s="3"/>
      <c r="B38" s="9"/>
      <c r="C38" s="9"/>
      <c r="E38" s="3"/>
      <c r="F38" s="3"/>
      <c r="G38" s="3"/>
      <c r="H38" s="3"/>
    </row>
    <row r="39" spans="1:8" x14ac:dyDescent="0.35">
      <c r="A39" s="3"/>
      <c r="B39" s="9"/>
      <c r="C39" s="9"/>
      <c r="E39" s="3"/>
      <c r="F39" s="3"/>
      <c r="G39" s="3"/>
      <c r="H39" s="3"/>
    </row>
    <row r="40" spans="1:8" ht="15" thickBot="1" x14ac:dyDescent="0.4">
      <c r="A40" s="10" t="s">
        <v>43</v>
      </c>
      <c r="B40" s="3"/>
      <c r="C40" s="3"/>
      <c r="E40" s="3"/>
      <c r="F40" s="3"/>
      <c r="G40" s="3"/>
      <c r="H40" s="3"/>
    </row>
    <row r="41" spans="1:8" x14ac:dyDescent="0.35">
      <c r="A41" s="25" t="s">
        <v>32</v>
      </c>
      <c r="B41" s="26"/>
      <c r="C41" s="27"/>
      <c r="E41" s="3"/>
      <c r="F41" s="3"/>
      <c r="G41" s="3"/>
      <c r="H41" s="3"/>
    </row>
    <row r="42" spans="1:8" x14ac:dyDescent="0.35">
      <c r="A42" s="17" t="s">
        <v>33</v>
      </c>
      <c r="B42" s="8"/>
      <c r="C42" s="19">
        <v>40000</v>
      </c>
      <c r="E42" s="3"/>
      <c r="F42" s="3"/>
      <c r="G42" s="3"/>
      <c r="H42" s="3"/>
    </row>
    <row r="43" spans="1:8" x14ac:dyDescent="0.35">
      <c r="A43" s="17" t="s">
        <v>34</v>
      </c>
      <c r="B43" s="8"/>
      <c r="C43" s="19"/>
      <c r="E43" s="3"/>
      <c r="F43" s="3"/>
      <c r="G43" s="3"/>
      <c r="H43" s="3"/>
    </row>
    <row r="44" spans="1:8" x14ac:dyDescent="0.35">
      <c r="A44" s="17" t="s">
        <v>27</v>
      </c>
      <c r="B44" s="8">
        <v>70000</v>
      </c>
      <c r="C44" s="19"/>
      <c r="E44" s="3"/>
      <c r="F44" s="3"/>
      <c r="G44" s="3"/>
      <c r="H44" s="3"/>
    </row>
    <row r="45" spans="1:8" x14ac:dyDescent="0.35">
      <c r="A45" s="17" t="s">
        <v>35</v>
      </c>
      <c r="B45" s="8">
        <v>70000</v>
      </c>
      <c r="C45" s="19"/>
      <c r="E45" s="3"/>
      <c r="F45" s="3"/>
      <c r="G45" s="3"/>
      <c r="H45" s="3"/>
    </row>
    <row r="46" spans="1:8" x14ac:dyDescent="0.35">
      <c r="A46" s="17" t="s">
        <v>36</v>
      </c>
      <c r="B46" s="8"/>
      <c r="C46" s="19">
        <v>0</v>
      </c>
      <c r="E46" s="3"/>
      <c r="F46" s="3"/>
      <c r="G46" s="3"/>
      <c r="H46" s="3"/>
    </row>
    <row r="47" spans="1:8" x14ac:dyDescent="0.35">
      <c r="A47" s="17" t="s">
        <v>37</v>
      </c>
      <c r="B47" s="8"/>
      <c r="C47" s="19">
        <f>C42-C46</f>
        <v>40000</v>
      </c>
      <c r="D47" s="12" t="s">
        <v>38</v>
      </c>
    </row>
    <row r="48" spans="1:8" x14ac:dyDescent="0.35">
      <c r="A48" s="17"/>
      <c r="B48" s="4"/>
      <c r="C48" s="28"/>
    </row>
    <row r="49" spans="1:3" x14ac:dyDescent="0.35">
      <c r="A49" s="17" t="s">
        <v>29</v>
      </c>
      <c r="B49" s="4"/>
      <c r="C49" s="19">
        <v>70000</v>
      </c>
    </row>
    <row r="50" spans="1:3" x14ac:dyDescent="0.35">
      <c r="A50" s="17"/>
      <c r="B50" s="4"/>
      <c r="C50" s="28"/>
    </row>
    <row r="51" spans="1:3" x14ac:dyDescent="0.35">
      <c r="A51" s="17" t="s">
        <v>39</v>
      </c>
      <c r="B51" s="4"/>
      <c r="C51" s="19">
        <v>40000</v>
      </c>
    </row>
    <row r="52" spans="1:3" ht="15" thickBot="1" x14ac:dyDescent="0.4">
      <c r="A52" s="22"/>
      <c r="B52" s="29"/>
      <c r="C52" s="30"/>
    </row>
    <row r="53" spans="1:3" x14ac:dyDescent="0.35">
      <c r="A53" s="4"/>
      <c r="B53" s="4"/>
      <c r="C53" s="4"/>
    </row>
    <row r="54" spans="1:3" x14ac:dyDescent="0.35">
      <c r="A54" s="10" t="s">
        <v>44</v>
      </c>
      <c r="B54" s="3"/>
      <c r="C54" s="3"/>
    </row>
    <row r="55" spans="1:3" x14ac:dyDescent="0.35">
      <c r="A55" s="6" t="s">
        <v>45</v>
      </c>
      <c r="B55" s="6"/>
      <c r="C55" s="6"/>
    </row>
    <row r="56" spans="1:3" x14ac:dyDescent="0.35">
      <c r="A56" s="8" t="s">
        <v>48</v>
      </c>
      <c r="B56" s="6"/>
      <c r="C56" s="6">
        <v>0</v>
      </c>
    </row>
    <row r="57" spans="1:3" x14ac:dyDescent="0.35">
      <c r="A57" s="32" t="s">
        <v>49</v>
      </c>
      <c r="B57" s="6"/>
      <c r="C57" s="6"/>
    </row>
    <row r="58" spans="1:3" x14ac:dyDescent="0.35">
      <c r="A58" s="8" t="s">
        <v>27</v>
      </c>
      <c r="B58" s="6">
        <v>400</v>
      </c>
      <c r="C58" s="6"/>
    </row>
    <row r="59" spans="1:3" x14ac:dyDescent="0.35">
      <c r="A59" s="33" t="s">
        <v>50</v>
      </c>
      <c r="B59" s="33">
        <f>B58*0.25*2</f>
        <v>200</v>
      </c>
      <c r="C59" s="33"/>
    </row>
    <row r="60" spans="1:3" x14ac:dyDescent="0.35">
      <c r="A60" s="33" t="s">
        <v>36</v>
      </c>
      <c r="B60" s="33"/>
      <c r="C60" s="33">
        <v>200</v>
      </c>
    </row>
    <row r="61" spans="1:3" x14ac:dyDescent="0.35">
      <c r="A61" s="33" t="s">
        <v>45</v>
      </c>
      <c r="B61" s="33"/>
      <c r="C61" s="33">
        <f>C56-C60</f>
        <v>-200</v>
      </c>
    </row>
    <row r="62" spans="1:3" x14ac:dyDescent="0.35">
      <c r="A62" s="33"/>
      <c r="B62" s="33"/>
      <c r="C62" s="33"/>
    </row>
    <row r="63" spans="1:3" ht="16" x14ac:dyDescent="0.5">
      <c r="A63" s="34" t="s">
        <v>59</v>
      </c>
      <c r="B63" s="33"/>
      <c r="C63" s="33"/>
    </row>
    <row r="64" spans="1:3" x14ac:dyDescent="0.35">
      <c r="A64" s="33" t="s">
        <v>60</v>
      </c>
      <c r="B64" s="33"/>
      <c r="C64" s="33">
        <v>50000</v>
      </c>
    </row>
    <row r="65" spans="1:3" x14ac:dyDescent="0.35">
      <c r="A65" s="33" t="s">
        <v>61</v>
      </c>
      <c r="B65" s="33"/>
      <c r="C65" s="33">
        <v>10000</v>
      </c>
    </row>
    <row r="66" spans="1:3" x14ac:dyDescent="0.35">
      <c r="A66" s="33" t="s">
        <v>62</v>
      </c>
      <c r="B66" s="33"/>
      <c r="C66" s="33">
        <f>0.25*C65</f>
        <v>2500</v>
      </c>
    </row>
    <row r="67" spans="1:3" x14ac:dyDescent="0.35">
      <c r="A67" s="1" t="s">
        <v>63</v>
      </c>
    </row>
    <row r="70" spans="1:3" x14ac:dyDescent="0.35">
      <c r="A70" s="31" t="s">
        <v>93</v>
      </c>
    </row>
  </sheetData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Sabelo Nare Solutions </vt:lpstr>
      <vt:lpstr>Practise Question 1- Samuel 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Mlayezeli Mangena</dc:creator>
  <cp:lastModifiedBy>Mlayezeli Mangena</cp:lastModifiedBy>
  <dcterms:created xsi:type="dcterms:W3CDTF">2023-10-04T01:32:38Z</dcterms:created>
  <dcterms:modified xsi:type="dcterms:W3CDTF">2023-10-04T07:29:37Z</dcterms:modified>
</cp:coreProperties>
</file>