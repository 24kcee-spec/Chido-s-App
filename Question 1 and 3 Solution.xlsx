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BC929UJ\OneDrive - EY\Desktop\"/>
    </mc:Choice>
  </mc:AlternateContent>
  <xr:revisionPtr revIDLastSave="0" documentId="13_ncr:1_{94DF0FBF-4577-4373-BE46-05C21EFD5B58}" xr6:coauthVersionLast="47" xr6:coauthVersionMax="47" xr10:uidLastSave="{00000000-0000-0000-0000-000000000000}"/>
  <bookViews>
    <workbookView xWindow="-110" yWindow="-110" windowWidth="19420" windowHeight="10420" activeTab="1" xr2:uid="{9D51F666-3011-4F58-8D8B-63CA454FF3E8}"/>
  </bookViews>
  <sheets>
    <sheet name="Question 3" sheetId="1" r:id="rId1"/>
    <sheet name="Quesion 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7" i="1" l="1"/>
  <c r="E100" i="1" s="1"/>
  <c r="E101" i="1" s="1"/>
  <c r="E106" i="1" s="1"/>
  <c r="E108" i="1" s="1"/>
  <c r="E110" i="1" s="1"/>
  <c r="F56" i="1" s="1"/>
  <c r="E87" i="1"/>
  <c r="F55" i="1" s="1"/>
  <c r="E81" i="1"/>
  <c r="F60" i="1" s="1"/>
  <c r="E70" i="1"/>
  <c r="E71" i="1" s="1"/>
  <c r="E75" i="1" s="1"/>
  <c r="F57" i="1" s="1"/>
  <c r="F63" i="1" l="1"/>
</calcChain>
</file>

<file path=xl/sharedStrings.xml><?xml version="1.0" encoding="utf-8"?>
<sst xmlns="http://schemas.openxmlformats.org/spreadsheetml/2006/main" count="124" uniqueCount="122">
  <si>
    <t xml:space="preserve">Explain the following to the board </t>
  </si>
  <si>
    <t>b) The disparity between profit before interest and tax and cashflows (3)</t>
  </si>
  <si>
    <t>a) The importance of operation cashflow  (2)</t>
  </si>
  <si>
    <t xml:space="preserve">c)Possible suggestions to improve the cash-position </t>
  </si>
  <si>
    <t>Inventory</t>
  </si>
  <si>
    <t xml:space="preserve">Trade receivables </t>
  </si>
  <si>
    <t xml:space="preserve">Trade payables </t>
  </si>
  <si>
    <t>Cash</t>
  </si>
  <si>
    <t xml:space="preserve">2.Application of just in time inventory management to reduce cash tired up in stock , ( this is dependent on the reliability of suppliers </t>
  </si>
  <si>
    <t xml:space="preserve">4. Implementation of reasonable discounts on trade receivables to promote prompt payments from customers </t>
  </si>
  <si>
    <t xml:space="preserve">9. Delaying payment of creditors without hurting the company reputation and image </t>
  </si>
  <si>
    <t xml:space="preserve">Marks </t>
  </si>
  <si>
    <t>Any other sensible point</t>
  </si>
  <si>
    <t xml:space="preserve">d) The effect of the missed assets on the above statement of cashflows </t>
  </si>
  <si>
    <t xml:space="preserve">Cost understated -thus dpn is understated- which affect operating cashflows </t>
  </si>
  <si>
    <t xml:space="preserve">Trade in of asset </t>
  </si>
  <si>
    <t xml:space="preserve">Template </t>
  </si>
  <si>
    <t xml:space="preserve">Details </t>
  </si>
  <si>
    <t xml:space="preserve">Amount </t>
  </si>
  <si>
    <t xml:space="preserve">Operating Activities </t>
  </si>
  <si>
    <t xml:space="preserve">Investing Activities </t>
  </si>
  <si>
    <t>Ref</t>
  </si>
  <si>
    <t xml:space="preserve">Implications </t>
  </si>
  <si>
    <t xml:space="preserve">Working 1 </t>
  </si>
  <si>
    <t xml:space="preserve">Motor Vehicles @ cost </t>
  </si>
  <si>
    <t xml:space="preserve">Depreciation for 2 years </t>
  </si>
  <si>
    <t xml:space="preserve">Carrying amount </t>
  </si>
  <si>
    <t xml:space="preserve">Trade In Value </t>
  </si>
  <si>
    <t xml:space="preserve">Profit on disposal </t>
  </si>
  <si>
    <t>[C]</t>
  </si>
  <si>
    <t>[A]</t>
  </si>
  <si>
    <t>[B]</t>
  </si>
  <si>
    <t>[A-B]</t>
  </si>
  <si>
    <t>[C-[A-B]]</t>
  </si>
  <si>
    <t>Working 2</t>
  </si>
  <si>
    <t xml:space="preserve">Cost of new vehicle </t>
  </si>
  <si>
    <t xml:space="preserve">Trade in Value of old Vehicle </t>
  </si>
  <si>
    <t xml:space="preserve">Cash Paid </t>
  </si>
  <si>
    <t xml:space="preserve">NB: This is a swap and top deal and the price of the deal is the negotiated price </t>
  </si>
  <si>
    <t>Working 3</t>
  </si>
  <si>
    <t xml:space="preserve">Cost of asset </t>
  </si>
  <si>
    <t>Dpn @10%</t>
  </si>
  <si>
    <t xml:space="preserve">-The adjustments to the cashflow statement, is the depreciation adjustment </t>
  </si>
  <si>
    <t xml:space="preserve">Depreciation charge for 2022 </t>
  </si>
  <si>
    <t xml:space="preserve">Patent Cost </t>
  </si>
  <si>
    <t xml:space="preserve">Useful Life </t>
  </si>
  <si>
    <t>Carrying amount @ December 2021</t>
  </si>
  <si>
    <t xml:space="preserve">not relevant for the CF statement </t>
  </si>
  <si>
    <t xml:space="preserve">Remaining useful life </t>
  </si>
  <si>
    <t xml:space="preserve">Adjustment for the CF statement </t>
  </si>
  <si>
    <t xml:space="preserve">Non cash adjustments </t>
  </si>
  <si>
    <t xml:space="preserve">less Purchase of new vehicle </t>
  </si>
  <si>
    <t>W3</t>
  </si>
  <si>
    <t>W4</t>
  </si>
  <si>
    <t>W1</t>
  </si>
  <si>
    <t xml:space="preserve">add IAS 8 adjustments on intangible asset </t>
  </si>
  <si>
    <t>W2</t>
  </si>
  <si>
    <t xml:space="preserve">Proceed from trade in (No actual exchange of cash </t>
  </si>
  <si>
    <t xml:space="preserve">Net Effect on the cash position </t>
  </si>
  <si>
    <t>****NB the question requires application of working capital management techniques which requires the effective management of the following :</t>
  </si>
  <si>
    <t xml:space="preserve">1.Disposal of assets that are not used by the company, e.g. old assets which are not operational </t>
  </si>
  <si>
    <t xml:space="preserve">3. Increasing promotional campaigns which include selling products at a discount to increase the amount of sales and cash </t>
  </si>
  <si>
    <t xml:space="preserve">5.Changing or reducing the credit period offered to customers without affecting/ hurting customer loyalty and market share </t>
  </si>
  <si>
    <t>6.Implementing debt factoring or invoice crediting for collection of amounts due early or transferring the risk of default to third partied</t>
  </si>
  <si>
    <t>7.Promoting cash sales through offering price segmentation between cash and credit customers , by having a low price on cash sales compared to cred as</t>
  </si>
  <si>
    <t xml:space="preserve">8.Negotiating extended credit terms with suppliers </t>
  </si>
  <si>
    <t xml:space="preserve">10. Negotiating for bank overdraft with the main bankers and finance institution </t>
  </si>
  <si>
    <t xml:space="preserve">11. public offer of share at a premium </t>
  </si>
  <si>
    <t xml:space="preserve">Exam technique , have a cashflow template that you will jot in your staff and think of any possible implications on the cashflows statement </t>
  </si>
  <si>
    <t>Omission of assets -</t>
  </si>
  <si>
    <t xml:space="preserve">purchase cost omitted - investing activities </t>
  </si>
  <si>
    <t xml:space="preserve">Means we disposed something- that means we omitted the disposal profit or loss </t>
  </si>
  <si>
    <t xml:space="preserve">add omitted depreciation </t>
  </si>
  <si>
    <t xml:space="preserve">less profit on disposal on the trade-in of Motor vehicle </t>
  </si>
  <si>
    <t xml:space="preserve">Cash outflow from purchase </t>
  </si>
  <si>
    <t>Omitted Depreciation on the new assets (Assumption was the old asset depreciation was computed correctly since the asset was in their books)</t>
  </si>
  <si>
    <t>Working 4 Patent ( Change in accounting estimated)</t>
  </si>
  <si>
    <t xml:space="preserve">-The useful life has been change from 10 to 6 years , the effect is that the appreciation should increase </t>
  </si>
  <si>
    <t xml:space="preserve">Amortization charged for the year </t>
  </si>
  <si>
    <t xml:space="preserve">Amortization @ 2yrs </t>
  </si>
  <si>
    <t xml:space="preserve">New amortization with the new useful life </t>
  </si>
  <si>
    <r>
      <t xml:space="preserve">-@ I January 2022 , remaining useful life was 6yrs -2yrs already used hence 4 years and the amortization is now computed on the Carrying amount , </t>
    </r>
    <r>
      <rPr>
        <b/>
        <sz val="9"/>
        <color rgb="FFC00000"/>
        <rFont val="EYInterstate"/>
      </rPr>
      <t>this is prospective accounting in terms  of IAS 8</t>
    </r>
  </si>
  <si>
    <t xml:space="preserve">Adjusted Amortization </t>
  </si>
  <si>
    <t xml:space="preserve">-profit before interest and tax is affected by accounting convections which include the depreciation policy , fair value adjustment whilist cashflows are actual movement of liquid funds in and out of the business </t>
  </si>
  <si>
    <t xml:space="preserve">-profit before interest and tax is computed for on an accrual basis , thus it includes items to be paid for or recived in the near future , whilist cashflows are cash basis </t>
  </si>
  <si>
    <t xml:space="preserve">-profit before intrest and tax includes non cash items where as cash represents actual cash transactions </t>
  </si>
  <si>
    <t xml:space="preserve">-operating cashflows is used in the financing of the working capital needs of the organisation </t>
  </si>
  <si>
    <t xml:space="preserve">-operating cashlfows allows the organisation to take advantage of transactional need of the entity e,g opportunities for discounts etc </t>
  </si>
  <si>
    <t>-its insures that the entity is solvent for continuity ( going concern)</t>
  </si>
  <si>
    <t xml:space="preserve">f) Illustration of cost of internal generated Intangible assets </t>
  </si>
  <si>
    <t xml:space="preserve">e) Illustration of the calculation of tax bases of liabilities </t>
  </si>
  <si>
    <t xml:space="preserve">d) Employee need of fiancial statements </t>
  </si>
  <si>
    <t xml:space="preserve">a) I have no idea on this one </t>
  </si>
  <si>
    <t xml:space="preserve">b)  I have no idea on this one </t>
  </si>
  <si>
    <r>
      <t xml:space="preserve">c) </t>
    </r>
    <r>
      <rPr>
        <b/>
        <sz val="9"/>
        <color rgb="FFC00000"/>
        <rFont val="EYInterstate"/>
      </rPr>
      <t>Refer to IFRS 5 and IAS 20</t>
    </r>
  </si>
  <si>
    <t xml:space="preserve">-employees can used the financial statements to assess the fairness of  renumeration  through comparisons of compensation againts revneue streams </t>
  </si>
  <si>
    <t xml:space="preserve">-Assessing job security through understanding of the going concern disclosures </t>
  </si>
  <si>
    <t xml:space="preserve">-assessing company grown against prospective imployees or the market </t>
  </si>
  <si>
    <t xml:space="preserve">Def </t>
  </si>
  <si>
    <t xml:space="preserve">Tax base of an asset - amount that is deductible in the future againts future economic benefits </t>
  </si>
  <si>
    <t xml:space="preserve">                                         if the economic benefits are not taxable then the carrying amount is equal to the tax base </t>
  </si>
  <si>
    <t xml:space="preserve">Tax base of a liability - Carrying amount less amounts not deductible in the future </t>
  </si>
  <si>
    <r>
      <t xml:space="preserve">                                        -Revenue in advance -carrying amount against amounts not taxable in the futures -now this aligns with</t>
    </r>
    <r>
      <rPr>
        <b/>
        <sz val="9"/>
        <color rgb="FFC00000"/>
        <rFont val="EYInterstate"/>
      </rPr>
      <t xml:space="preserve"> section 8(3) of the income tax act </t>
    </r>
  </si>
  <si>
    <t xml:space="preserve">Lets assume we are developing a software </t>
  </si>
  <si>
    <r>
      <t>1. Feasibility studies cost - these are cost that are to be incurred to obtain knowledge and understanding of the software and shall be classified as research (</t>
    </r>
    <r>
      <rPr>
        <b/>
        <sz val="9"/>
        <color rgb="FFC00000"/>
        <rFont val="EYInterstate"/>
      </rPr>
      <t>SIC 12.para 9 and para 58. IAS 38</t>
    </r>
    <r>
      <rPr>
        <sz val="9"/>
        <color theme="1"/>
        <rFont val="EYInterstate"/>
      </rPr>
      <t>)</t>
    </r>
  </si>
  <si>
    <t xml:space="preserve">2. Internet cost incurred on the development of the software -these shall be capitalised since they are development cost and can be realisable mesures </t>
  </si>
  <si>
    <t xml:space="preserve">Another example </t>
  </si>
  <si>
    <t xml:space="preserve">3. Cost incured on the bulding of the the OK Mart Brand, this shall not be capitalised since the cost of the brand can not be distinguised from the cost of developing the business as whole </t>
  </si>
  <si>
    <t xml:space="preserve">3. Cost of MIFIs,servers for the development of the soft ware- these are part of the development cost and shall be capilasised if the conditions in IAS 38 are met </t>
  </si>
  <si>
    <t>4. Initial testing cost and the cost of new software long - these costs shall not be capilased since they are not incured to bring the asset to condition intendend by management</t>
  </si>
  <si>
    <t>Land was bought in the year 2022 @ 300000</t>
  </si>
  <si>
    <t xml:space="preserve">Trade receivable balance for the current year 300 000 </t>
  </si>
  <si>
    <t>Prepaid revenue amounted to 20000</t>
  </si>
  <si>
    <t>Trade payables amount to 30000</t>
  </si>
  <si>
    <t>Expected credit losses are estimated at 30000</t>
  </si>
  <si>
    <t xml:space="preserve">Example </t>
  </si>
  <si>
    <t xml:space="preserve">Tax base </t>
  </si>
  <si>
    <t>Tax base of land is equal to its carrying amount 300 000, if the presumption of sale is applied then the tax base equal to Cost+ Inflation allowance since its to be affected by CGT</t>
  </si>
  <si>
    <t>Not taxable in the future hence CA =TB , 300 000</t>
  </si>
  <si>
    <t>section 8(3) says prepaid revenue is not taxable, hence the whole amount will be taxable in the future , hence tb =20 000</t>
  </si>
  <si>
    <t>whole amount not deductible, TB = 30000</t>
  </si>
  <si>
    <t xml:space="preserve">tax base =0 , this is an accounting estimated , tax man doesn’t know about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</si>
</sst>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x14ac:knownFonts="1">
    <font>
      <sz val="11"/>
      <color theme="1"/>
      <name val="Calibri"/>
      <family val="2"/>
      <scheme val="minor"/>
    </font>
    <font>
      <sz val="11"/>
      <color theme="1"/>
      <name val="Calibri"/>
      <family val="2"/>
      <scheme val="minor"/>
    </font>
    <font>
      <sz val="9"/>
      <color theme="1"/>
      <name val="EYInterstate"/>
    </font>
    <font>
      <u/>
      <sz val="9"/>
      <color theme="1"/>
      <name val="EYInterstate"/>
    </font>
    <font>
      <b/>
      <sz val="9"/>
      <color theme="1"/>
      <name val="EYInterstate"/>
    </font>
    <font>
      <b/>
      <u/>
      <sz val="9"/>
      <color theme="1"/>
      <name val="EYInterstate"/>
    </font>
    <font>
      <i/>
      <sz val="9"/>
      <color theme="1"/>
      <name val="EYInterstate"/>
    </font>
    <font>
      <i/>
      <sz val="9"/>
      <color rgb="FFC00000"/>
      <name val="EYInterstate"/>
    </font>
    <font>
      <b/>
      <i/>
      <sz val="9"/>
      <color rgb="FFC00000"/>
      <name val="EYInterstate"/>
    </font>
    <font>
      <b/>
      <i/>
      <sz val="9"/>
      <color theme="4"/>
      <name val="EYInterstate"/>
    </font>
    <font>
      <b/>
      <sz val="9"/>
      <color rgb="FFC00000"/>
      <name val="EYInterstate"/>
    </font>
    <font>
      <b/>
      <i/>
      <u/>
      <sz val="9"/>
      <color theme="1"/>
      <name val="EYInterstate"/>
    </font>
    <font>
      <i/>
      <sz val="9"/>
      <color rgb="FF00B050"/>
      <name val="EYInterstate"/>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106">
    <xf numFmtId="0" fontId="0" fillId="0" borderId="0" xfId="0"/>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2" fillId="2" borderId="0" xfId="0" applyFont="1" applyFill="1" applyAlignment="1">
      <alignment horizontal="left" wrapText="1"/>
    </xf>
    <xf numFmtId="0" fontId="7" fillId="2" borderId="0" xfId="0" applyFont="1" applyFill="1" applyAlignment="1">
      <alignment horizontal="left" wrapText="1"/>
    </xf>
    <xf numFmtId="0" fontId="9" fillId="2" borderId="0" xfId="0" applyFont="1" applyFill="1" applyAlignment="1">
      <alignment horizontal="left" indent="2"/>
    </xf>
    <xf numFmtId="0" fontId="2" fillId="2" borderId="0" xfId="0" applyFont="1" applyFill="1" applyAlignment="1">
      <alignment horizontal="left"/>
    </xf>
    <xf numFmtId="0" fontId="2" fillId="3" borderId="1" xfId="0" applyFont="1" applyFill="1" applyBorder="1" applyAlignment="1">
      <alignment horizontal="left"/>
    </xf>
    <xf numFmtId="0" fontId="2" fillId="2" borderId="0" xfId="0" applyFont="1" applyFill="1" applyBorder="1" applyAlignment="1">
      <alignment horizontal="left"/>
    </xf>
    <xf numFmtId="0" fontId="2" fillId="2" borderId="0" xfId="0" applyFont="1" applyFill="1" applyBorder="1" applyAlignment="1">
      <alignment horizontal="left"/>
    </xf>
    <xf numFmtId="0" fontId="4" fillId="2" borderId="0" xfId="0" applyFont="1" applyFill="1" applyBorder="1" applyAlignment="1">
      <alignment horizontal="left"/>
    </xf>
    <xf numFmtId="0" fontId="2" fillId="3" borderId="1" xfId="0" applyFont="1" applyFill="1" applyBorder="1" applyAlignment="1"/>
    <xf numFmtId="0" fontId="2" fillId="3" borderId="5" xfId="0" applyFont="1" applyFill="1" applyBorder="1" applyAlignment="1">
      <alignment horizontal="left"/>
    </xf>
    <xf numFmtId="0" fontId="2" fillId="3" borderId="6" xfId="0" applyFont="1" applyFill="1" applyBorder="1" applyAlignment="1">
      <alignment horizontal="left"/>
    </xf>
    <xf numFmtId="0" fontId="2" fillId="3" borderId="7" xfId="0" applyFont="1" applyFill="1" applyBorder="1" applyAlignment="1">
      <alignment horizontal="left"/>
    </xf>
    <xf numFmtId="0" fontId="2" fillId="2" borderId="0" xfId="0" applyFont="1" applyFill="1" applyBorder="1" applyAlignment="1"/>
    <xf numFmtId="0" fontId="5" fillId="2" borderId="0" xfId="0" applyFont="1" applyFill="1" applyBorder="1" applyAlignment="1">
      <alignment horizontal="left"/>
    </xf>
    <xf numFmtId="0" fontId="10" fillId="2" borderId="0" xfId="0" applyFont="1" applyFill="1"/>
    <xf numFmtId="43" fontId="2" fillId="2" borderId="0" xfId="1" applyFont="1" applyFill="1"/>
    <xf numFmtId="43" fontId="2" fillId="2" borderId="0" xfId="0" applyNumberFormat="1" applyFont="1" applyFill="1"/>
    <xf numFmtId="43" fontId="10" fillId="2" borderId="0" xfId="0" applyNumberFormat="1" applyFont="1" applyFill="1"/>
    <xf numFmtId="43" fontId="4" fillId="2" borderId="0" xfId="0" applyNumberFormat="1" applyFont="1" applyFill="1"/>
    <xf numFmtId="0" fontId="8" fillId="2" borderId="0" xfId="0" applyFont="1" applyFill="1"/>
    <xf numFmtId="0" fontId="11" fillId="2" borderId="0" xfId="0" applyFont="1" applyFill="1"/>
    <xf numFmtId="43" fontId="10" fillId="2" borderId="0" xfId="1" applyFont="1" applyFill="1"/>
    <xf numFmtId="0" fontId="12" fillId="2" borderId="0" xfId="0" applyFont="1" applyFill="1"/>
    <xf numFmtId="0" fontId="2" fillId="2" borderId="0" xfId="0" quotePrefix="1" applyFont="1" applyFill="1"/>
    <xf numFmtId="0" fontId="2" fillId="2" borderId="0" xfId="0" quotePrefix="1" applyFont="1" applyFill="1" applyAlignment="1">
      <alignment horizontal="left" wrapText="1"/>
    </xf>
    <xf numFmtId="43" fontId="2" fillId="2" borderId="0" xfId="0" applyNumberFormat="1" applyFont="1" applyFill="1" applyBorder="1" applyAlignment="1">
      <alignment horizontal="left"/>
    </xf>
    <xf numFmtId="0" fontId="5" fillId="2" borderId="0" xfId="0" applyFont="1" applyFill="1" applyBorder="1" applyAlignment="1"/>
    <xf numFmtId="0" fontId="6" fillId="0" borderId="0" xfId="0" applyFont="1" applyFill="1" applyBorder="1" applyAlignment="1">
      <alignment horizontal="left"/>
    </xf>
    <xf numFmtId="0" fontId="4" fillId="0" borderId="0" xfId="0" applyFont="1" applyFill="1" applyBorder="1" applyAlignment="1">
      <alignment horizontal="center"/>
    </xf>
    <xf numFmtId="0" fontId="2" fillId="0" borderId="0" xfId="0" applyFont="1" applyFill="1" applyBorder="1" applyAlignment="1">
      <alignment horizontal="left"/>
    </xf>
    <xf numFmtId="0" fontId="6" fillId="0" borderId="8" xfId="0" applyFont="1" applyFill="1" applyBorder="1" applyAlignment="1">
      <alignment horizontal="left"/>
    </xf>
    <xf numFmtId="0" fontId="6" fillId="0" borderId="9" xfId="0" applyFont="1" applyFill="1" applyBorder="1" applyAlignment="1">
      <alignment horizontal="left"/>
    </xf>
    <xf numFmtId="0" fontId="4" fillId="0" borderId="9" xfId="0" applyFont="1" applyFill="1" applyBorder="1" applyAlignment="1">
      <alignment horizontal="center"/>
    </xf>
    <xf numFmtId="43" fontId="2" fillId="0" borderId="10" xfId="0" applyNumberFormat="1" applyFont="1" applyFill="1" applyBorder="1" applyAlignment="1">
      <alignment horizontal="left"/>
    </xf>
    <xf numFmtId="0" fontId="6" fillId="0" borderId="11" xfId="0" applyFont="1" applyFill="1" applyBorder="1" applyAlignment="1">
      <alignment horizontal="left"/>
    </xf>
    <xf numFmtId="43" fontId="2" fillId="0" borderId="12" xfId="0" applyNumberFormat="1" applyFont="1" applyFill="1" applyBorder="1" applyAlignment="1">
      <alignment horizontal="left"/>
    </xf>
    <xf numFmtId="0" fontId="6" fillId="0" borderId="13" xfId="0" applyFont="1" applyFill="1" applyBorder="1" applyAlignment="1">
      <alignment horizontal="left"/>
    </xf>
    <xf numFmtId="0" fontId="6" fillId="0" borderId="4" xfId="0" applyFont="1" applyFill="1" applyBorder="1" applyAlignment="1">
      <alignment horizontal="left"/>
    </xf>
    <xf numFmtId="0" fontId="4" fillId="0" borderId="4" xfId="0" applyFont="1" applyFill="1" applyBorder="1" applyAlignment="1">
      <alignment horizontal="center"/>
    </xf>
    <xf numFmtId="43" fontId="2" fillId="0" borderId="14" xfId="0" applyNumberFormat="1" applyFont="1" applyFill="1" applyBorder="1" applyAlignment="1">
      <alignment horizontal="left"/>
    </xf>
    <xf numFmtId="0" fontId="2" fillId="0" borderId="8" xfId="0" applyFont="1" applyFill="1" applyBorder="1" applyAlignment="1">
      <alignment horizontal="left"/>
    </xf>
    <xf numFmtId="0" fontId="2" fillId="0" borderId="9" xfId="0" applyFont="1" applyFill="1" applyBorder="1" applyAlignment="1">
      <alignment horizontal="left"/>
    </xf>
    <xf numFmtId="0" fontId="2" fillId="0" borderId="13" xfId="0" applyFont="1" applyFill="1" applyBorder="1" applyAlignment="1">
      <alignment horizontal="left"/>
    </xf>
    <xf numFmtId="0" fontId="2" fillId="0" borderId="4" xfId="0" applyFont="1" applyFill="1" applyBorder="1" applyAlignment="1">
      <alignment horizontal="left"/>
    </xf>
    <xf numFmtId="0" fontId="2" fillId="0" borderId="4" xfId="0" applyFont="1" applyFill="1" applyBorder="1" applyAlignment="1"/>
    <xf numFmtId="43" fontId="2" fillId="0" borderId="14" xfId="1" applyFont="1" applyFill="1" applyBorder="1" applyAlignment="1">
      <alignment horizontal="left"/>
    </xf>
    <xf numFmtId="0" fontId="4" fillId="2" borderId="0" xfId="0" applyFont="1" applyFill="1" applyBorder="1" applyAlignment="1">
      <alignment horizontal="left"/>
    </xf>
    <xf numFmtId="0" fontId="2" fillId="0" borderId="8" xfId="0" quotePrefix="1" applyFont="1" applyFill="1" applyBorder="1" applyAlignment="1">
      <alignment horizontal="left" wrapText="1"/>
    </xf>
    <xf numFmtId="0" fontId="2" fillId="0" borderId="9" xfId="0" quotePrefix="1" applyFont="1" applyFill="1" applyBorder="1" applyAlignment="1">
      <alignment horizontal="left" wrapText="1"/>
    </xf>
    <xf numFmtId="0" fontId="2" fillId="0" borderId="11" xfId="0" quotePrefix="1" applyFont="1" applyFill="1" applyBorder="1" applyAlignment="1">
      <alignment horizontal="left" wrapText="1"/>
    </xf>
    <xf numFmtId="0" fontId="2" fillId="0" borderId="0" xfId="0" quotePrefix="1" applyFont="1" applyFill="1" applyBorder="1" applyAlignment="1">
      <alignment horizontal="left" wrapText="1"/>
    </xf>
    <xf numFmtId="0" fontId="2" fillId="0" borderId="12" xfId="0" applyFont="1" applyFill="1" applyBorder="1" applyAlignment="1">
      <alignment horizontal="center"/>
    </xf>
    <xf numFmtId="0" fontId="2" fillId="0" borderId="13" xfId="0" quotePrefix="1" applyFont="1" applyFill="1" applyBorder="1" applyAlignment="1">
      <alignment horizontal="left"/>
    </xf>
    <xf numFmtId="0" fontId="2" fillId="0" borderId="4" xfId="0" quotePrefix="1" applyFont="1" applyFill="1" applyBorder="1" applyAlignment="1">
      <alignment horizontal="left"/>
    </xf>
    <xf numFmtId="0" fontId="2" fillId="0" borderId="14" xfId="0" applyFont="1" applyFill="1" applyBorder="1" applyAlignment="1">
      <alignment horizontal="center"/>
    </xf>
    <xf numFmtId="0" fontId="2" fillId="0" borderId="2" xfId="0" applyFont="1" applyFill="1" applyBorder="1" applyAlignment="1">
      <alignment horizontal="center"/>
    </xf>
    <xf numFmtId="0" fontId="2" fillId="0" borderId="15" xfId="0" applyFont="1" applyFill="1" applyBorder="1" applyAlignment="1">
      <alignment horizontal="center"/>
    </xf>
    <xf numFmtId="0" fontId="2" fillId="0" borderId="3" xfId="0" applyFont="1" applyFill="1" applyBorder="1" applyAlignment="1">
      <alignment horizontal="center"/>
    </xf>
    <xf numFmtId="0" fontId="2" fillId="2" borderId="16" xfId="0" applyFont="1" applyFill="1" applyBorder="1" applyAlignment="1">
      <alignment horizontal="left"/>
    </xf>
    <xf numFmtId="0" fontId="2" fillId="2" borderId="16" xfId="0" applyFont="1" applyFill="1" applyBorder="1" applyAlignment="1">
      <alignment horizontal="left"/>
    </xf>
    <xf numFmtId="0" fontId="2" fillId="0" borderId="8" xfId="0" quotePrefix="1" applyFont="1" applyFill="1" applyBorder="1" applyAlignment="1">
      <alignment horizontal="left"/>
    </xf>
    <xf numFmtId="0" fontId="2" fillId="0" borderId="9" xfId="0" quotePrefix="1" applyFont="1" applyFill="1" applyBorder="1" applyAlignment="1">
      <alignment horizontal="left"/>
    </xf>
    <xf numFmtId="0" fontId="2" fillId="0" borderId="10" xfId="0" applyFont="1" applyFill="1" applyBorder="1" applyAlignment="1">
      <alignment horizontal="center"/>
    </xf>
    <xf numFmtId="0" fontId="6" fillId="0" borderId="0" xfId="0" applyFont="1" applyFill="1" applyBorder="1" applyAlignment="1">
      <alignment horizontal="left" wrapText="1"/>
    </xf>
    <xf numFmtId="0" fontId="2" fillId="0" borderId="0" xfId="0" applyFont="1" applyFill="1" applyBorder="1" applyAlignment="1">
      <alignment horizontal="center"/>
    </xf>
    <xf numFmtId="0" fontId="6" fillId="0" borderId="0" xfId="0" applyFont="1" applyFill="1" applyBorder="1" applyAlignment="1">
      <alignment horizontal="center"/>
    </xf>
    <xf numFmtId="0" fontId="6" fillId="0" borderId="0" xfId="0" applyFont="1" applyFill="1" applyBorder="1" applyAlignment="1">
      <alignment horizontal="left" vertical="top" wrapText="1"/>
    </xf>
    <xf numFmtId="0" fontId="2" fillId="0" borderId="0" xfId="0" applyFont="1" applyFill="1" applyBorder="1" applyAlignment="1">
      <alignment horizontal="left" wrapText="1"/>
    </xf>
    <xf numFmtId="43" fontId="2" fillId="0" borderId="0" xfId="1" applyFont="1" applyFill="1" applyBorder="1" applyAlignment="1"/>
    <xf numFmtId="0" fontId="6" fillId="0" borderId="11" xfId="0" applyFont="1" applyFill="1" applyBorder="1" applyAlignment="1">
      <alignment horizontal="left" wrapText="1"/>
    </xf>
    <xf numFmtId="0" fontId="6" fillId="0" borderId="11" xfId="0" applyFont="1" applyFill="1" applyBorder="1" applyAlignment="1">
      <alignment horizontal="center"/>
    </xf>
    <xf numFmtId="0" fontId="2" fillId="0" borderId="12" xfId="0" applyFont="1" applyFill="1" applyBorder="1" applyAlignment="1">
      <alignment horizontal="center"/>
    </xf>
    <xf numFmtId="0" fontId="6" fillId="0" borderId="11" xfId="0" applyFont="1" applyFill="1" applyBorder="1" applyAlignment="1">
      <alignment horizontal="left" vertical="top" wrapText="1"/>
    </xf>
    <xf numFmtId="0" fontId="2" fillId="0" borderId="11" xfId="0" applyFont="1" applyFill="1" applyBorder="1" applyAlignment="1">
      <alignment horizontal="left" wrapText="1"/>
    </xf>
    <xf numFmtId="0" fontId="2" fillId="0" borderId="11" xfId="0" applyFont="1" applyFill="1" applyBorder="1" applyAlignment="1">
      <alignment horizontal="left"/>
    </xf>
    <xf numFmtId="43" fontId="2" fillId="0" borderId="11" xfId="1" applyFont="1" applyFill="1" applyBorder="1" applyAlignment="1"/>
    <xf numFmtId="43" fontId="7" fillId="2" borderId="13" xfId="1" applyFont="1" applyFill="1" applyBorder="1" applyAlignment="1"/>
    <xf numFmtId="43" fontId="7" fillId="2" borderId="4" xfId="1" applyFont="1" applyFill="1" applyBorder="1" applyAlignment="1"/>
    <xf numFmtId="0" fontId="2" fillId="2" borderId="14" xfId="0" applyFont="1" applyFill="1" applyBorder="1" applyAlignment="1">
      <alignment horizontal="center"/>
    </xf>
    <xf numFmtId="0" fontId="2" fillId="3" borderId="0" xfId="0" applyFont="1" applyFill="1" applyBorder="1" applyAlignment="1">
      <alignment horizontal="left"/>
    </xf>
    <xf numFmtId="0" fontId="2" fillId="3" borderId="0" xfId="0" applyFont="1" applyFill="1" applyBorder="1" applyAlignment="1">
      <alignment horizontal="center"/>
    </xf>
    <xf numFmtId="0" fontId="4" fillId="3" borderId="0" xfId="0" applyFont="1" applyFill="1"/>
    <xf numFmtId="0" fontId="2" fillId="3" borderId="0" xfId="0" applyFont="1" applyFill="1"/>
    <xf numFmtId="0" fontId="5" fillId="3" borderId="0" xfId="0" applyFont="1" applyFill="1"/>
    <xf numFmtId="0" fontId="2" fillId="0" borderId="8" xfId="0" quotePrefix="1" applyFont="1" applyFill="1" applyBorder="1" applyAlignment="1">
      <alignment horizontal="left" vertical="top"/>
    </xf>
    <xf numFmtId="0" fontId="2" fillId="0" borderId="9" xfId="0" quotePrefix="1" applyFont="1" applyFill="1" applyBorder="1" applyAlignment="1">
      <alignment horizontal="left" vertical="top"/>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2" fillId="0" borderId="11" xfId="0" quotePrefix="1" applyFont="1" applyFill="1" applyBorder="1" applyAlignment="1"/>
    <xf numFmtId="0" fontId="2" fillId="0" borderId="0" xfId="0" quotePrefix="1" applyFont="1" applyFill="1" applyBorder="1" applyAlignment="1"/>
    <xf numFmtId="0" fontId="2" fillId="0" borderId="0" xfId="0" applyFont="1" applyFill="1" applyBorder="1"/>
    <xf numFmtId="0" fontId="2" fillId="0" borderId="12" xfId="0" applyFont="1" applyFill="1" applyBorder="1"/>
    <xf numFmtId="0" fontId="2" fillId="0" borderId="11" xfId="0" applyFont="1" applyFill="1" applyBorder="1" applyAlignment="1"/>
    <xf numFmtId="0" fontId="2" fillId="0" borderId="0" xfId="0" applyFont="1" applyFill="1" applyBorder="1" applyAlignment="1"/>
    <xf numFmtId="0" fontId="2" fillId="0" borderId="12" xfId="0" applyFont="1" applyFill="1" applyBorder="1" applyAlignment="1">
      <alignment horizontal="left" wrapText="1"/>
    </xf>
    <xf numFmtId="0" fontId="2" fillId="0" borderId="13" xfId="0" applyFont="1" applyFill="1" applyBorder="1" applyAlignment="1"/>
    <xf numFmtId="0" fontId="2" fillId="0" borderId="4" xfId="0" applyFont="1" applyFill="1" applyBorder="1" applyAlignment="1">
      <alignment horizontal="left" wrapText="1"/>
    </xf>
    <xf numFmtId="0" fontId="2" fillId="0" borderId="14" xfId="0" applyFont="1" applyFill="1" applyBorder="1" applyAlignment="1">
      <alignment horizontal="left" wrapText="1"/>
    </xf>
    <xf numFmtId="0" fontId="4" fillId="3" borderId="5" xfId="0" quotePrefix="1" applyFont="1" applyFill="1" applyBorder="1" applyAlignment="1"/>
    <xf numFmtId="0" fontId="4" fillId="3" borderId="6" xfId="0" quotePrefix="1" applyFont="1" applyFill="1" applyBorder="1" applyAlignment="1"/>
    <xf numFmtId="0" fontId="4" fillId="3" borderId="7" xfId="0" quotePrefix="1" applyFont="1" applyFill="1" applyBorder="1"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7056</xdr:colOff>
      <xdr:row>54</xdr:row>
      <xdr:rowOff>91722</xdr:rowOff>
    </xdr:from>
    <xdr:to>
      <xdr:col>6</xdr:col>
      <xdr:colOff>127000</xdr:colOff>
      <xdr:row>56</xdr:row>
      <xdr:rowOff>119944</xdr:rowOff>
    </xdr:to>
    <xdr:sp macro="" textlink="">
      <xdr:nvSpPr>
        <xdr:cNvPr id="2" name="Left Brace 1">
          <a:extLst>
            <a:ext uri="{FF2B5EF4-FFF2-40B4-BE49-F238E27FC236}">
              <a16:creationId xmlns:a16="http://schemas.microsoft.com/office/drawing/2014/main" id="{3CD9B7F4-B1C1-4E5A-8E34-358652C1C498}"/>
            </a:ext>
          </a:extLst>
        </xdr:cNvPr>
        <xdr:cNvSpPr/>
      </xdr:nvSpPr>
      <xdr:spPr>
        <a:xfrm>
          <a:off x="7796389" y="7020278"/>
          <a:ext cx="119944" cy="366888"/>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ZA" sz="1100"/>
        </a:p>
      </xdr:txBody>
    </xdr:sp>
    <xdr:clientData/>
  </xdr:twoCellAnchor>
  <xdr:twoCellAnchor>
    <xdr:from>
      <xdr:col>6</xdr:col>
      <xdr:colOff>155223</xdr:colOff>
      <xdr:row>54</xdr:row>
      <xdr:rowOff>63501</xdr:rowOff>
    </xdr:from>
    <xdr:to>
      <xdr:col>9</xdr:col>
      <xdr:colOff>839612</xdr:colOff>
      <xdr:row>57</xdr:row>
      <xdr:rowOff>35279</xdr:rowOff>
    </xdr:to>
    <xdr:sp macro="" textlink="">
      <xdr:nvSpPr>
        <xdr:cNvPr id="3" name="TextBoxNote">
          <a:extLst>
            <a:ext uri="{FF2B5EF4-FFF2-40B4-BE49-F238E27FC236}">
              <a16:creationId xmlns:a16="http://schemas.microsoft.com/office/drawing/2014/main" id="{A6F12B48-DB1C-4FCD-A7BF-53210D391987}"/>
            </a:ext>
          </a:extLst>
        </xdr:cNvPr>
        <xdr:cNvSpPr txBox="1"/>
      </xdr:nvSpPr>
      <xdr:spPr>
        <a:xfrm>
          <a:off x="7944556" y="6992057"/>
          <a:ext cx="3972278" cy="47977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000" b="1">
              <a:solidFill>
                <a:schemeClr val="tx1"/>
              </a:solidFill>
              <a:latin typeface="EYInterstate" panose="02000503020000020004" pitchFamily="2" charset="0"/>
              <a:cs typeface="Arial" panose="020B0604020202020204" pitchFamily="34" charset="0"/>
            </a:rPr>
            <a:t>Weird</a:t>
          </a:r>
          <a:r>
            <a:rPr lang="en-US" sz="1000" b="1" baseline="0">
              <a:solidFill>
                <a:schemeClr val="tx1"/>
              </a:solidFill>
              <a:latin typeface="EYInterstate" panose="02000503020000020004" pitchFamily="2" charset="0"/>
              <a:cs typeface="Arial" panose="020B0604020202020204" pitchFamily="34" charset="0"/>
            </a:rPr>
            <a:t> case: Ideally if these items were omitted we don't need to adjust for them since they did not affect the profit or loss , </a:t>
          </a:r>
          <a:endParaRPr lang="en-US" sz="1000" b="1">
            <a:solidFill>
              <a:schemeClr val="tx1"/>
            </a:solidFill>
            <a:latin typeface="EYInterstate" panose="02000503020000020004" pitchFamily="2"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0E2F-9956-43B7-A18F-13DF24565B91}">
  <dimension ref="B2:H110"/>
  <sheetViews>
    <sheetView topLeftCell="A103" zoomScale="90" zoomScaleNormal="90" workbookViewId="0">
      <selection activeCell="G42" sqref="B42:G42"/>
    </sheetView>
  </sheetViews>
  <sheetFormatPr defaultColWidth="18.54296875" defaultRowHeight="12.5" x14ac:dyDescent="0.3"/>
  <cols>
    <col min="1" max="6" width="18.54296875" style="1"/>
    <col min="7" max="7" width="9.90625" style="1" customWidth="1"/>
    <col min="8" max="16384" width="18.54296875" style="1"/>
  </cols>
  <sheetData>
    <row r="2" spans="2:7" x14ac:dyDescent="0.3">
      <c r="B2" s="2" t="s">
        <v>0</v>
      </c>
    </row>
    <row r="3" spans="2:7" ht="13.5" x14ac:dyDescent="0.35">
      <c r="B3" s="86" t="s">
        <v>2</v>
      </c>
      <c r="C3" s="87"/>
      <c r="D3" s="87"/>
      <c r="E3" s="87"/>
      <c r="F3" s="87"/>
      <c r="G3" s="87"/>
    </row>
    <row r="4" spans="2:7" x14ac:dyDescent="0.3">
      <c r="B4" s="65" t="s">
        <v>86</v>
      </c>
      <c r="C4" s="66"/>
      <c r="D4" s="66"/>
      <c r="E4" s="66"/>
      <c r="F4" s="66"/>
      <c r="G4" s="67">
        <v>1</v>
      </c>
    </row>
    <row r="5" spans="2:7" x14ac:dyDescent="0.3">
      <c r="B5" s="54" t="s">
        <v>87</v>
      </c>
      <c r="C5" s="55"/>
      <c r="D5" s="55"/>
      <c r="E5" s="55"/>
      <c r="F5" s="55"/>
      <c r="G5" s="56">
        <v>1</v>
      </c>
    </row>
    <row r="6" spans="2:7" x14ac:dyDescent="0.3">
      <c r="B6" s="54"/>
      <c r="C6" s="55"/>
      <c r="D6" s="55"/>
      <c r="E6" s="55"/>
      <c r="F6" s="55"/>
      <c r="G6" s="56"/>
    </row>
    <row r="7" spans="2:7" x14ac:dyDescent="0.3">
      <c r="B7" s="57" t="s">
        <v>88</v>
      </c>
      <c r="C7" s="58"/>
      <c r="D7" s="58"/>
      <c r="E7" s="58"/>
      <c r="F7" s="58"/>
      <c r="G7" s="59">
        <v>1</v>
      </c>
    </row>
    <row r="11" spans="2:7" ht="13.5" x14ac:dyDescent="0.35">
      <c r="B11" s="86" t="s">
        <v>1</v>
      </c>
      <c r="C11" s="87"/>
      <c r="D11" s="87"/>
      <c r="E11" s="87"/>
      <c r="F11" s="87"/>
      <c r="G11" s="87"/>
    </row>
    <row r="12" spans="2:7" x14ac:dyDescent="0.3">
      <c r="B12" s="52" t="s">
        <v>83</v>
      </c>
      <c r="C12" s="53"/>
      <c r="D12" s="53"/>
      <c r="E12" s="53"/>
      <c r="F12" s="53"/>
      <c r="G12" s="60">
        <v>1</v>
      </c>
    </row>
    <row r="13" spans="2:7" x14ac:dyDescent="0.3">
      <c r="B13" s="54"/>
      <c r="C13" s="55"/>
      <c r="D13" s="55"/>
      <c r="E13" s="55"/>
      <c r="F13" s="55"/>
      <c r="G13" s="61"/>
    </row>
    <row r="14" spans="2:7" x14ac:dyDescent="0.3">
      <c r="B14" s="54" t="s">
        <v>84</v>
      </c>
      <c r="C14" s="55"/>
      <c r="D14" s="55"/>
      <c r="E14" s="55"/>
      <c r="F14" s="55"/>
      <c r="G14" s="61">
        <v>1</v>
      </c>
    </row>
    <row r="15" spans="2:7" x14ac:dyDescent="0.3">
      <c r="B15" s="54"/>
      <c r="C15" s="55"/>
      <c r="D15" s="55"/>
      <c r="E15" s="55"/>
      <c r="F15" s="55"/>
      <c r="G15" s="61"/>
    </row>
    <row r="16" spans="2:7" x14ac:dyDescent="0.3">
      <c r="B16" s="57" t="s">
        <v>85</v>
      </c>
      <c r="C16" s="58"/>
      <c r="D16" s="58"/>
      <c r="E16" s="58"/>
      <c r="F16" s="58"/>
      <c r="G16" s="62">
        <v>1</v>
      </c>
    </row>
    <row r="18" spans="2:7" ht="13.5" x14ac:dyDescent="0.35">
      <c r="B18" s="4" t="s">
        <v>3</v>
      </c>
    </row>
    <row r="19" spans="2:7" x14ac:dyDescent="0.3">
      <c r="B19" s="6" t="s">
        <v>59</v>
      </c>
      <c r="C19" s="6"/>
      <c r="D19" s="6"/>
      <c r="E19" s="6"/>
      <c r="F19" s="6"/>
    </row>
    <row r="20" spans="2:7" x14ac:dyDescent="0.3">
      <c r="B20" s="6"/>
      <c r="C20" s="6"/>
      <c r="D20" s="6"/>
      <c r="E20" s="6"/>
      <c r="F20" s="6"/>
    </row>
    <row r="21" spans="2:7" x14ac:dyDescent="0.3">
      <c r="B21" s="7" t="s">
        <v>4</v>
      </c>
    </row>
    <row r="22" spans="2:7" x14ac:dyDescent="0.3">
      <c r="B22" s="7" t="s">
        <v>5</v>
      </c>
    </row>
    <row r="23" spans="2:7" x14ac:dyDescent="0.3">
      <c r="B23" s="7" t="s">
        <v>6</v>
      </c>
    </row>
    <row r="24" spans="2:7" x14ac:dyDescent="0.3">
      <c r="B24" s="7" t="s">
        <v>7</v>
      </c>
    </row>
    <row r="25" spans="2:7" x14ac:dyDescent="0.3">
      <c r="B25" s="84"/>
      <c r="C25" s="84"/>
      <c r="D25" s="84"/>
      <c r="E25" s="84"/>
      <c r="F25" s="84"/>
      <c r="G25" s="85" t="s">
        <v>11</v>
      </c>
    </row>
    <row r="26" spans="2:7" ht="13.5" x14ac:dyDescent="0.35">
      <c r="B26" s="35" t="s">
        <v>60</v>
      </c>
      <c r="C26" s="36"/>
      <c r="D26" s="36"/>
      <c r="E26" s="36"/>
      <c r="F26" s="36"/>
      <c r="G26" s="67">
        <v>1</v>
      </c>
    </row>
    <row r="27" spans="2:7" ht="13.5" customHeight="1" x14ac:dyDescent="0.3">
      <c r="B27" s="74" t="s">
        <v>8</v>
      </c>
      <c r="C27" s="68"/>
      <c r="D27" s="68"/>
      <c r="E27" s="68"/>
      <c r="F27" s="68"/>
      <c r="G27" s="56">
        <v>1</v>
      </c>
    </row>
    <row r="28" spans="2:7" ht="13.5" customHeight="1" x14ac:dyDescent="0.3">
      <c r="B28" s="74"/>
      <c r="C28" s="68"/>
      <c r="D28" s="68"/>
      <c r="E28" s="68"/>
      <c r="F28" s="68"/>
      <c r="G28" s="56"/>
    </row>
    <row r="29" spans="2:7" ht="13.5" x14ac:dyDescent="0.35">
      <c r="B29" s="75" t="s">
        <v>61</v>
      </c>
      <c r="C29" s="70"/>
      <c r="D29" s="70"/>
      <c r="E29" s="70"/>
      <c r="F29" s="70"/>
      <c r="G29" s="76">
        <v>1</v>
      </c>
    </row>
    <row r="30" spans="2:7" ht="13.5" customHeight="1" x14ac:dyDescent="0.3">
      <c r="B30" s="77" t="s">
        <v>9</v>
      </c>
      <c r="C30" s="71"/>
      <c r="D30" s="71"/>
      <c r="E30" s="71"/>
      <c r="F30" s="71"/>
      <c r="G30" s="76">
        <v>1</v>
      </c>
    </row>
    <row r="31" spans="2:7" ht="13.5" x14ac:dyDescent="0.35">
      <c r="B31" s="39" t="s">
        <v>62</v>
      </c>
      <c r="C31" s="32"/>
      <c r="D31" s="32"/>
      <c r="E31" s="32"/>
      <c r="F31" s="32"/>
      <c r="G31" s="76">
        <v>1</v>
      </c>
    </row>
    <row r="32" spans="2:7" ht="13.5" customHeight="1" x14ac:dyDescent="0.3">
      <c r="B32" s="74" t="s">
        <v>63</v>
      </c>
      <c r="C32" s="68"/>
      <c r="D32" s="68"/>
      <c r="E32" s="68"/>
      <c r="F32" s="68"/>
      <c r="G32" s="56">
        <v>1</v>
      </c>
    </row>
    <row r="33" spans="2:7" ht="13.5" customHeight="1" x14ac:dyDescent="0.3">
      <c r="B33" s="74"/>
      <c r="C33" s="68"/>
      <c r="D33" s="68"/>
      <c r="E33" s="68"/>
      <c r="F33" s="68"/>
      <c r="G33" s="56"/>
    </row>
    <row r="34" spans="2:7" x14ac:dyDescent="0.3">
      <c r="B34" s="78" t="s">
        <v>64</v>
      </c>
      <c r="C34" s="72"/>
      <c r="D34" s="72"/>
      <c r="E34" s="72"/>
      <c r="F34" s="72"/>
      <c r="G34" s="56">
        <v>1</v>
      </c>
    </row>
    <row r="35" spans="2:7" x14ac:dyDescent="0.3">
      <c r="B35" s="78"/>
      <c r="C35" s="72"/>
      <c r="D35" s="72"/>
      <c r="E35" s="72"/>
      <c r="F35" s="72"/>
      <c r="G35" s="56"/>
    </row>
    <row r="36" spans="2:7" x14ac:dyDescent="0.3">
      <c r="B36" s="79" t="s">
        <v>65</v>
      </c>
      <c r="C36" s="34"/>
      <c r="D36" s="34"/>
      <c r="E36" s="34"/>
      <c r="F36" s="34"/>
      <c r="G36" s="76">
        <v>1</v>
      </c>
    </row>
    <row r="37" spans="2:7" x14ac:dyDescent="0.3">
      <c r="B37" s="79" t="s">
        <v>10</v>
      </c>
      <c r="C37" s="34"/>
      <c r="D37" s="34"/>
      <c r="E37" s="34"/>
      <c r="F37" s="34"/>
      <c r="G37" s="76">
        <v>1</v>
      </c>
    </row>
    <row r="38" spans="2:7" x14ac:dyDescent="0.3">
      <c r="B38" s="79" t="s">
        <v>66</v>
      </c>
      <c r="C38" s="34"/>
      <c r="D38" s="34"/>
      <c r="E38" s="34"/>
      <c r="F38" s="34"/>
      <c r="G38" s="76">
        <v>1</v>
      </c>
    </row>
    <row r="39" spans="2:7" x14ac:dyDescent="0.3">
      <c r="B39" s="80" t="s">
        <v>67</v>
      </c>
      <c r="C39" s="73"/>
      <c r="D39" s="73"/>
      <c r="E39" s="73"/>
      <c r="F39" s="73"/>
      <c r="G39" s="76">
        <v>1</v>
      </c>
    </row>
    <row r="40" spans="2:7" ht="13.5" x14ac:dyDescent="0.35">
      <c r="B40" s="81" t="s">
        <v>12</v>
      </c>
      <c r="C40" s="82"/>
      <c r="D40" s="82"/>
      <c r="E40" s="82"/>
      <c r="F40" s="82"/>
      <c r="G40" s="83">
        <v>1</v>
      </c>
    </row>
    <row r="42" spans="2:7" ht="13.5" x14ac:dyDescent="0.35">
      <c r="B42" s="88" t="s">
        <v>13</v>
      </c>
      <c r="C42" s="87"/>
      <c r="D42" s="87"/>
      <c r="E42" s="87"/>
      <c r="F42" s="87"/>
      <c r="G42" s="87"/>
    </row>
    <row r="43" spans="2:7" x14ac:dyDescent="0.3">
      <c r="B43" s="1" t="s">
        <v>68</v>
      </c>
    </row>
    <row r="44" spans="2:7" x14ac:dyDescent="0.3">
      <c r="B44" s="1" t="s">
        <v>22</v>
      </c>
    </row>
    <row r="45" spans="2:7" ht="13.5" x14ac:dyDescent="0.35">
      <c r="B45" s="19" t="s">
        <v>69</v>
      </c>
      <c r="C45" s="1" t="s">
        <v>70</v>
      </c>
    </row>
    <row r="46" spans="2:7" x14ac:dyDescent="0.3">
      <c r="C46" s="1" t="s">
        <v>14</v>
      </c>
    </row>
    <row r="47" spans="2:7" ht="13.5" x14ac:dyDescent="0.35">
      <c r="B47" s="19" t="s">
        <v>15</v>
      </c>
      <c r="C47" s="1" t="s">
        <v>71</v>
      </c>
    </row>
    <row r="49" spans="2:8" ht="13.5" x14ac:dyDescent="0.35">
      <c r="B49" s="4" t="s">
        <v>16</v>
      </c>
    </row>
    <row r="51" spans="2:8" s="8" customFormat="1" x14ac:dyDescent="0.3">
      <c r="B51" s="14" t="s">
        <v>17</v>
      </c>
      <c r="C51" s="15"/>
      <c r="D51" s="16"/>
      <c r="E51" s="13" t="s">
        <v>21</v>
      </c>
      <c r="F51" s="9" t="s">
        <v>18</v>
      </c>
    </row>
    <row r="53" spans="2:8" ht="13.5" x14ac:dyDescent="0.35">
      <c r="B53" s="18" t="s">
        <v>19</v>
      </c>
      <c r="C53" s="18"/>
      <c r="D53" s="18"/>
      <c r="E53" s="31"/>
      <c r="F53" s="11"/>
    </row>
    <row r="54" spans="2:8" s="11" customFormat="1" ht="13.5" x14ac:dyDescent="0.35">
      <c r="B54" s="12" t="s">
        <v>50</v>
      </c>
      <c r="C54" s="12"/>
      <c r="D54" s="12"/>
      <c r="E54" s="17"/>
    </row>
    <row r="55" spans="2:8" s="11" customFormat="1" ht="13.5" x14ac:dyDescent="0.35">
      <c r="B55" s="35" t="s">
        <v>72</v>
      </c>
      <c r="C55" s="36"/>
      <c r="D55" s="36"/>
      <c r="E55" s="37" t="s">
        <v>52</v>
      </c>
      <c r="F55" s="38">
        <f>E87</f>
        <v>1600</v>
      </c>
    </row>
    <row r="56" spans="2:8" s="11" customFormat="1" ht="13.5" x14ac:dyDescent="0.35">
      <c r="B56" s="39" t="s">
        <v>55</v>
      </c>
      <c r="C56" s="32"/>
      <c r="D56" s="32"/>
      <c r="E56" s="33" t="s">
        <v>53</v>
      </c>
      <c r="F56" s="40">
        <f>E110</f>
        <v>150</v>
      </c>
      <c r="H56" s="51"/>
    </row>
    <row r="57" spans="2:8" s="11" customFormat="1" ht="13.5" x14ac:dyDescent="0.35">
      <c r="B57" s="41" t="s">
        <v>73</v>
      </c>
      <c r="C57" s="42"/>
      <c r="D57" s="42"/>
      <c r="E57" s="43" t="s">
        <v>54</v>
      </c>
      <c r="F57" s="44">
        <f>-E75</f>
        <v>-1000</v>
      </c>
    </row>
    <row r="58" spans="2:8" s="11" customFormat="1" x14ac:dyDescent="0.3">
      <c r="B58" s="10"/>
      <c r="C58" s="10"/>
      <c r="D58" s="10"/>
      <c r="E58" s="17"/>
    </row>
    <row r="59" spans="2:8" ht="13.5" x14ac:dyDescent="0.35">
      <c r="B59" s="18" t="s">
        <v>20</v>
      </c>
      <c r="C59" s="18"/>
      <c r="D59" s="18"/>
      <c r="E59" s="18"/>
      <c r="F59" s="11"/>
    </row>
    <row r="60" spans="2:8" s="11" customFormat="1" ht="13.5" x14ac:dyDescent="0.35">
      <c r="B60" s="45" t="s">
        <v>51</v>
      </c>
      <c r="C60" s="46"/>
      <c r="D60" s="46"/>
      <c r="E60" s="37" t="s">
        <v>56</v>
      </c>
      <c r="F60" s="38">
        <f>-E81</f>
        <v>-7000</v>
      </c>
    </row>
    <row r="61" spans="2:8" s="11" customFormat="1" x14ac:dyDescent="0.3">
      <c r="B61" s="47" t="s">
        <v>57</v>
      </c>
      <c r="C61" s="48"/>
      <c r="D61" s="48"/>
      <c r="E61" s="49"/>
      <c r="F61" s="50">
        <v>0</v>
      </c>
    </row>
    <row r="62" spans="2:8" s="11" customFormat="1" x14ac:dyDescent="0.3">
      <c r="B62" s="10"/>
      <c r="C62" s="10"/>
      <c r="D62" s="10"/>
      <c r="E62" s="17"/>
    </row>
    <row r="63" spans="2:8" s="11" customFormat="1" ht="13.5" x14ac:dyDescent="0.35">
      <c r="B63" s="12" t="s">
        <v>58</v>
      </c>
      <c r="C63" s="12"/>
      <c r="D63" s="12"/>
      <c r="E63" s="17"/>
      <c r="F63" s="30">
        <f>SUM(F55:F61)</f>
        <v>-6250</v>
      </c>
    </row>
    <row r="64" spans="2:8" s="11" customFormat="1" x14ac:dyDescent="0.3">
      <c r="B64" s="10"/>
      <c r="C64" s="10"/>
      <c r="D64" s="10"/>
      <c r="E64" s="17"/>
    </row>
    <row r="65" spans="2:6" ht="13" thickBot="1" x14ac:dyDescent="0.35">
      <c r="B65" s="63"/>
      <c r="C65" s="63"/>
      <c r="D65" s="63"/>
      <c r="E65" s="63"/>
      <c r="F65" s="64"/>
    </row>
    <row r="66" spans="2:6" x14ac:dyDescent="0.3">
      <c r="B66" s="10"/>
      <c r="C66" s="10"/>
      <c r="D66" s="10"/>
      <c r="E66" s="10"/>
      <c r="F66" s="11"/>
    </row>
    <row r="68" spans="2:6" ht="13.5" x14ac:dyDescent="0.35">
      <c r="B68" s="4" t="s">
        <v>23</v>
      </c>
    </row>
    <row r="69" spans="2:6" x14ac:dyDescent="0.3">
      <c r="B69" s="1" t="s">
        <v>24</v>
      </c>
      <c r="D69" s="1" t="s">
        <v>30</v>
      </c>
      <c r="E69" s="20">
        <v>10000</v>
      </c>
    </row>
    <row r="70" spans="2:6" x14ac:dyDescent="0.3">
      <c r="B70" s="1" t="s">
        <v>25</v>
      </c>
      <c r="D70" s="1" t="s">
        <v>31</v>
      </c>
      <c r="E70" s="20">
        <f>(E69/10)*2</f>
        <v>2000</v>
      </c>
    </row>
    <row r="71" spans="2:6" x14ac:dyDescent="0.35">
      <c r="B71" s="1" t="s">
        <v>26</v>
      </c>
      <c r="D71" s="1" t="s">
        <v>32</v>
      </c>
      <c r="E71" s="26">
        <f>E69-E70</f>
        <v>8000</v>
      </c>
    </row>
    <row r="72" spans="2:6" x14ac:dyDescent="0.3">
      <c r="E72" s="20"/>
    </row>
    <row r="73" spans="2:6" x14ac:dyDescent="0.3">
      <c r="B73" s="1" t="s">
        <v>27</v>
      </c>
      <c r="D73" s="1" t="s">
        <v>29</v>
      </c>
      <c r="E73" s="20">
        <v>9000</v>
      </c>
    </row>
    <row r="74" spans="2:6" x14ac:dyDescent="0.3">
      <c r="E74" s="20"/>
    </row>
    <row r="75" spans="2:6" ht="13.5" x14ac:dyDescent="0.35">
      <c r="B75" s="1" t="s">
        <v>28</v>
      </c>
      <c r="D75" s="1" t="s">
        <v>33</v>
      </c>
      <c r="E75" s="26">
        <f>E73-E71</f>
        <v>1000</v>
      </c>
    </row>
    <row r="76" spans="2:6" x14ac:dyDescent="0.3">
      <c r="E76" s="20"/>
    </row>
    <row r="77" spans="2:6" x14ac:dyDescent="0.3">
      <c r="B77" s="25" t="s">
        <v>34</v>
      </c>
      <c r="E77" s="20"/>
    </row>
    <row r="78" spans="2:6" ht="13.5" x14ac:dyDescent="0.35">
      <c r="B78" s="24" t="s">
        <v>74</v>
      </c>
      <c r="E78" s="20"/>
      <c r="F78" s="27" t="s">
        <v>38</v>
      </c>
    </row>
    <row r="79" spans="2:6" x14ac:dyDescent="0.3">
      <c r="B79" s="1" t="s">
        <v>35</v>
      </c>
      <c r="E79" s="20">
        <v>16000</v>
      </c>
    </row>
    <row r="80" spans="2:6" x14ac:dyDescent="0.3">
      <c r="B80" s="1" t="s">
        <v>36</v>
      </c>
      <c r="E80" s="20">
        <v>-9000</v>
      </c>
    </row>
    <row r="81" spans="2:6" ht="13.5" x14ac:dyDescent="0.35">
      <c r="B81" s="1" t="s">
        <v>37</v>
      </c>
      <c r="E81" s="22">
        <f>E79+E80</f>
        <v>7000</v>
      </c>
    </row>
    <row r="83" spans="2:6" ht="13.5" x14ac:dyDescent="0.35">
      <c r="B83" s="4" t="s">
        <v>39</v>
      </c>
    </row>
    <row r="84" spans="2:6" x14ac:dyDescent="0.3">
      <c r="B84" s="5" t="s">
        <v>75</v>
      </c>
      <c r="C84" s="5"/>
      <c r="D84" s="5"/>
      <c r="E84" s="5"/>
      <c r="F84" s="5"/>
    </row>
    <row r="85" spans="2:6" x14ac:dyDescent="0.3">
      <c r="B85" s="5"/>
      <c r="C85" s="5"/>
      <c r="D85" s="5"/>
      <c r="E85" s="5"/>
      <c r="F85" s="5"/>
    </row>
    <row r="86" spans="2:6" x14ac:dyDescent="0.3">
      <c r="B86" s="1" t="s">
        <v>40</v>
      </c>
      <c r="E86" s="20">
        <v>16000</v>
      </c>
    </row>
    <row r="87" spans="2:6" ht="13.5" x14ac:dyDescent="0.35">
      <c r="B87" s="1" t="s">
        <v>41</v>
      </c>
      <c r="E87" s="22">
        <f>E86/10</f>
        <v>1600</v>
      </c>
    </row>
    <row r="90" spans="2:6" ht="13.5" x14ac:dyDescent="0.35">
      <c r="B90" s="4" t="s">
        <v>76</v>
      </c>
    </row>
    <row r="91" spans="2:6" x14ac:dyDescent="0.3">
      <c r="B91" s="28" t="s">
        <v>77</v>
      </c>
    </row>
    <row r="92" spans="2:6" x14ac:dyDescent="0.3">
      <c r="B92" s="28" t="s">
        <v>42</v>
      </c>
    </row>
    <row r="94" spans="2:6" ht="13.5" x14ac:dyDescent="0.35">
      <c r="B94" s="3" t="s">
        <v>43</v>
      </c>
    </row>
    <row r="95" spans="2:6" x14ac:dyDescent="0.3">
      <c r="B95" s="1" t="s">
        <v>44</v>
      </c>
      <c r="E95" s="20">
        <v>1500</v>
      </c>
    </row>
    <row r="96" spans="2:6" x14ac:dyDescent="0.3">
      <c r="B96" s="1" t="s">
        <v>45</v>
      </c>
      <c r="E96" s="20">
        <v>10</v>
      </c>
    </row>
    <row r="97" spans="2:6" ht="13.5" x14ac:dyDescent="0.35">
      <c r="B97" s="1" t="s">
        <v>78</v>
      </c>
      <c r="E97" s="26">
        <f>E95/E96</f>
        <v>150</v>
      </c>
    </row>
    <row r="99" spans="2:6" ht="13.5" x14ac:dyDescent="0.35">
      <c r="B99" s="3" t="s">
        <v>46</v>
      </c>
    </row>
    <row r="100" spans="2:6" x14ac:dyDescent="0.3">
      <c r="B100" s="1" t="s">
        <v>79</v>
      </c>
      <c r="E100" s="21">
        <f>E97*2</f>
        <v>300</v>
      </c>
      <c r="F100" s="1" t="s">
        <v>47</v>
      </c>
    </row>
    <row r="101" spans="2:6" ht="13.5" x14ac:dyDescent="0.35">
      <c r="B101" s="1" t="s">
        <v>26</v>
      </c>
      <c r="E101" s="23">
        <f>E95-E100</f>
        <v>1200</v>
      </c>
      <c r="F101" s="21"/>
    </row>
    <row r="103" spans="2:6" ht="13.5" x14ac:dyDescent="0.35">
      <c r="B103" s="4" t="s">
        <v>80</v>
      </c>
    </row>
    <row r="104" spans="2:6" ht="13.5" customHeight="1" x14ac:dyDescent="0.3">
      <c r="B104" s="29" t="s">
        <v>81</v>
      </c>
      <c r="C104" s="29"/>
      <c r="D104" s="29"/>
      <c r="E104" s="29"/>
      <c r="F104" s="29"/>
    </row>
    <row r="105" spans="2:6" x14ac:dyDescent="0.3">
      <c r="B105" s="29"/>
      <c r="C105" s="29"/>
      <c r="D105" s="29"/>
      <c r="E105" s="29"/>
      <c r="F105" s="29"/>
    </row>
    <row r="106" spans="2:6" x14ac:dyDescent="0.3">
      <c r="B106" s="1" t="s">
        <v>26</v>
      </c>
      <c r="E106" s="21">
        <f>E101</f>
        <v>1200</v>
      </c>
    </row>
    <row r="107" spans="2:6" x14ac:dyDescent="0.3">
      <c r="B107" s="1" t="s">
        <v>48</v>
      </c>
      <c r="E107" s="1">
        <v>4</v>
      </c>
    </row>
    <row r="108" spans="2:6" x14ac:dyDescent="0.3">
      <c r="B108" s="1" t="s">
        <v>82</v>
      </c>
      <c r="E108" s="21">
        <f>E106/E107</f>
        <v>300</v>
      </c>
    </row>
    <row r="110" spans="2:6" ht="13.5" x14ac:dyDescent="0.35">
      <c r="B110" s="1" t="s">
        <v>49</v>
      </c>
      <c r="E110" s="22">
        <f>E108-E97</f>
        <v>150</v>
      </c>
    </row>
  </sheetData>
  <mergeCells count="42">
    <mergeCell ref="G12:G13"/>
    <mergeCell ref="G14:G15"/>
    <mergeCell ref="B4:F4"/>
    <mergeCell ref="B5:F6"/>
    <mergeCell ref="B7:F7"/>
    <mergeCell ref="G5:G6"/>
    <mergeCell ref="B63:D63"/>
    <mergeCell ref="B64:D64"/>
    <mergeCell ref="B84:F85"/>
    <mergeCell ref="B104:F105"/>
    <mergeCell ref="B53:D53"/>
    <mergeCell ref="B12:F13"/>
    <mergeCell ref="B14:F15"/>
    <mergeCell ref="B16:F16"/>
    <mergeCell ref="B65:E65"/>
    <mergeCell ref="B66:E66"/>
    <mergeCell ref="B51:D51"/>
    <mergeCell ref="B54:D54"/>
    <mergeCell ref="B55:D55"/>
    <mergeCell ref="B56:D56"/>
    <mergeCell ref="B58:D58"/>
    <mergeCell ref="B59:E59"/>
    <mergeCell ref="B60:D60"/>
    <mergeCell ref="B61:D61"/>
    <mergeCell ref="B62:D62"/>
    <mergeCell ref="B40:F40"/>
    <mergeCell ref="B39:F39"/>
    <mergeCell ref="G32:G33"/>
    <mergeCell ref="G27:G28"/>
    <mergeCell ref="G34:G35"/>
    <mergeCell ref="B25:F25"/>
    <mergeCell ref="B31:F31"/>
    <mergeCell ref="B32:F33"/>
    <mergeCell ref="B34:F35"/>
    <mergeCell ref="B36:F36"/>
    <mergeCell ref="B37:F37"/>
    <mergeCell ref="B38:F38"/>
    <mergeCell ref="B19:F20"/>
    <mergeCell ref="B26:F26"/>
    <mergeCell ref="B27:F28"/>
    <mergeCell ref="B29:F29"/>
    <mergeCell ref="B30:F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FFA8-3A69-4E9C-A637-FEAD555EDD36}">
  <dimension ref="B3:K36"/>
  <sheetViews>
    <sheetView tabSelected="1" topLeftCell="A23" zoomScale="90" zoomScaleNormal="90" workbookViewId="0">
      <selection activeCell="E35" sqref="E35"/>
    </sheetView>
  </sheetViews>
  <sheetFormatPr defaultRowHeight="12.5" x14ac:dyDescent="0.3"/>
  <cols>
    <col min="1" max="1" width="8.7265625" style="1"/>
    <col min="2" max="2" width="8.7265625" style="1" customWidth="1"/>
    <col min="3" max="16384" width="8.7265625" style="1"/>
  </cols>
  <sheetData>
    <row r="3" spans="2:3" ht="13.5" x14ac:dyDescent="0.35">
      <c r="B3" s="3" t="s">
        <v>92</v>
      </c>
    </row>
    <row r="4" spans="2:3" ht="13.5" x14ac:dyDescent="0.35">
      <c r="B4" s="3" t="s">
        <v>93</v>
      </c>
    </row>
    <row r="5" spans="2:3" ht="13.5" x14ac:dyDescent="0.35">
      <c r="B5" s="3" t="s">
        <v>94</v>
      </c>
    </row>
    <row r="6" spans="2:3" ht="13.5" x14ac:dyDescent="0.35">
      <c r="B6" s="3"/>
    </row>
    <row r="7" spans="2:3" ht="13.5" x14ac:dyDescent="0.35">
      <c r="B7" s="4" t="s">
        <v>91</v>
      </c>
    </row>
    <row r="8" spans="2:3" x14ac:dyDescent="0.3">
      <c r="B8" s="28" t="s">
        <v>95</v>
      </c>
    </row>
    <row r="9" spans="2:3" x14ac:dyDescent="0.3">
      <c r="B9" s="28" t="s">
        <v>96</v>
      </c>
    </row>
    <row r="10" spans="2:3" x14ac:dyDescent="0.3">
      <c r="B10" s="28" t="s">
        <v>97</v>
      </c>
    </row>
    <row r="11" spans="2:3" x14ac:dyDescent="0.3">
      <c r="B11" s="28"/>
    </row>
    <row r="12" spans="2:3" ht="13.5" x14ac:dyDescent="0.35">
      <c r="B12" s="3" t="s">
        <v>90</v>
      </c>
    </row>
    <row r="13" spans="2:3" ht="13.5" x14ac:dyDescent="0.35">
      <c r="B13" s="3" t="s">
        <v>98</v>
      </c>
      <c r="C13" s="1" t="s">
        <v>99</v>
      </c>
    </row>
    <row r="14" spans="2:3" ht="13.5" x14ac:dyDescent="0.35">
      <c r="B14" s="3"/>
      <c r="C14" s="28" t="s">
        <v>100</v>
      </c>
    </row>
    <row r="15" spans="2:3" ht="13.5" x14ac:dyDescent="0.35">
      <c r="B15" s="3"/>
      <c r="C15" s="1" t="s">
        <v>101</v>
      </c>
    </row>
    <row r="16" spans="2:3" ht="13.5" x14ac:dyDescent="0.35">
      <c r="B16" s="3"/>
      <c r="C16" s="1" t="s">
        <v>102</v>
      </c>
    </row>
    <row r="17" spans="2:11" ht="13.5" x14ac:dyDescent="0.35">
      <c r="B17" s="3"/>
    </row>
    <row r="18" spans="2:11" ht="13.5" x14ac:dyDescent="0.35">
      <c r="B18" s="103" t="s">
        <v>115</v>
      </c>
      <c r="C18" s="104"/>
      <c r="D18" s="104"/>
      <c r="E18" s="104"/>
      <c r="F18" s="104"/>
      <c r="G18" s="104" t="s">
        <v>116</v>
      </c>
      <c r="H18" s="104"/>
      <c r="I18" s="104"/>
      <c r="J18" s="104"/>
      <c r="K18" s="105"/>
    </row>
    <row r="19" spans="2:11" ht="52" customHeight="1" x14ac:dyDescent="0.3">
      <c r="B19" s="89" t="s">
        <v>110</v>
      </c>
      <c r="C19" s="90"/>
      <c r="D19" s="90"/>
      <c r="E19" s="90"/>
      <c r="F19" s="90"/>
      <c r="G19" s="91" t="s">
        <v>117</v>
      </c>
      <c r="H19" s="91"/>
      <c r="I19" s="91"/>
      <c r="J19" s="91"/>
      <c r="K19" s="92"/>
    </row>
    <row r="20" spans="2:11" x14ac:dyDescent="0.3">
      <c r="B20" s="93" t="s">
        <v>111</v>
      </c>
      <c r="C20" s="94"/>
      <c r="D20" s="94"/>
      <c r="E20" s="94"/>
      <c r="F20" s="94"/>
      <c r="G20" s="95" t="s">
        <v>118</v>
      </c>
      <c r="H20" s="95"/>
      <c r="I20" s="95"/>
      <c r="J20" s="95"/>
      <c r="K20" s="96"/>
    </row>
    <row r="21" spans="2:11" ht="39" customHeight="1" x14ac:dyDescent="0.3">
      <c r="B21" s="97" t="s">
        <v>112</v>
      </c>
      <c r="C21" s="98"/>
      <c r="D21" s="98"/>
      <c r="E21" s="98"/>
      <c r="F21" s="98"/>
      <c r="G21" s="72" t="s">
        <v>119</v>
      </c>
      <c r="H21" s="72"/>
      <c r="I21" s="72"/>
      <c r="J21" s="72"/>
      <c r="K21" s="99"/>
    </row>
    <row r="22" spans="2:11" x14ac:dyDescent="0.3">
      <c r="B22" s="97" t="s">
        <v>113</v>
      </c>
      <c r="C22" s="98"/>
      <c r="D22" s="98"/>
      <c r="E22" s="98"/>
      <c r="F22" s="98"/>
      <c r="G22" s="69" t="s">
        <v>120</v>
      </c>
      <c r="H22" s="69"/>
      <c r="I22" s="69"/>
      <c r="J22" s="69"/>
      <c r="K22" s="56"/>
    </row>
    <row r="23" spans="2:11" ht="23" customHeight="1" x14ac:dyDescent="0.3">
      <c r="B23" s="100" t="s">
        <v>114</v>
      </c>
      <c r="C23" s="49"/>
      <c r="D23" s="49"/>
      <c r="E23" s="49"/>
      <c r="F23" s="49"/>
      <c r="G23" s="101" t="s">
        <v>121</v>
      </c>
      <c r="H23" s="101"/>
      <c r="I23" s="101"/>
      <c r="J23" s="101"/>
      <c r="K23" s="102"/>
    </row>
    <row r="24" spans="2:11" ht="13.5" x14ac:dyDescent="0.35">
      <c r="B24" s="3"/>
    </row>
    <row r="25" spans="2:11" ht="13.5" x14ac:dyDescent="0.35">
      <c r="B25" s="3"/>
    </row>
    <row r="26" spans="2:11" ht="13.5" x14ac:dyDescent="0.35">
      <c r="B26" s="3"/>
    </row>
    <row r="27" spans="2:11" ht="13.5" x14ac:dyDescent="0.35">
      <c r="B27" s="4" t="s">
        <v>89</v>
      </c>
    </row>
    <row r="28" spans="2:11" x14ac:dyDescent="0.3">
      <c r="B28" s="1" t="s">
        <v>103</v>
      </c>
    </row>
    <row r="29" spans="2:11" ht="13.5" x14ac:dyDescent="0.35">
      <c r="B29" s="1" t="s">
        <v>104</v>
      </c>
    </row>
    <row r="30" spans="2:11" x14ac:dyDescent="0.3">
      <c r="B30" s="1" t="s">
        <v>105</v>
      </c>
    </row>
    <row r="31" spans="2:11" x14ac:dyDescent="0.3">
      <c r="B31" s="1" t="s">
        <v>108</v>
      </c>
    </row>
    <row r="32" spans="2:11" x14ac:dyDescent="0.3">
      <c r="B32" s="1" t="s">
        <v>109</v>
      </c>
    </row>
    <row r="35" spans="2:2" x14ac:dyDescent="0.3">
      <c r="B35" s="2" t="s">
        <v>106</v>
      </c>
    </row>
    <row r="36" spans="2:2" x14ac:dyDescent="0.3">
      <c r="B36" s="1" t="s">
        <v>107</v>
      </c>
    </row>
  </sheetData>
  <mergeCells count="10">
    <mergeCell ref="G21:K21"/>
    <mergeCell ref="G22:K22"/>
    <mergeCell ref="G23:K23"/>
    <mergeCell ref="B19:F19"/>
    <mergeCell ref="B20:F20"/>
    <mergeCell ref="B21:F21"/>
    <mergeCell ref="B22:F22"/>
    <mergeCell ref="B18:F18"/>
    <mergeCell ref="G18:K18"/>
    <mergeCell ref="G19:K19"/>
  </mergeCells>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3</vt:lpstr>
      <vt:lpstr>Quesion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Mlayezeli Mangena</dc:creator>
  <cp:lastModifiedBy>Mlayezeli Mangena</cp:lastModifiedBy>
  <dcterms:created xsi:type="dcterms:W3CDTF">2023-11-05T07:42:04Z</dcterms:created>
  <dcterms:modified xsi:type="dcterms:W3CDTF">2023-11-05T16:39:01Z</dcterms:modified>
</cp:coreProperties>
</file>