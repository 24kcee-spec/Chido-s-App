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hando Dube\Documents\"/>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0" i="1" l="1"/>
  <c r="C38" i="1"/>
  <c r="C37" i="1"/>
  <c r="C34" i="1"/>
  <c r="C31" i="1"/>
  <c r="C30" i="1"/>
  <c r="C25" i="1"/>
  <c r="C24" i="1"/>
  <c r="C15" i="1"/>
  <c r="C14" i="1"/>
  <c r="C13" i="1"/>
  <c r="C6" i="1"/>
  <c r="C5" i="1"/>
</calcChain>
</file>

<file path=xl/comments1.xml><?xml version="1.0" encoding="utf-8"?>
<comments xmlns="http://schemas.openxmlformats.org/spreadsheetml/2006/main">
  <authors>
    <author>Thando Dube</author>
  </authors>
  <commentList>
    <comment ref="C5" authorId="0" shapeId="0">
      <text>
        <r>
          <rPr>
            <b/>
            <sz val="9"/>
            <color indexed="81"/>
            <rFont val="Tahoma"/>
            <charset val="1"/>
          </rPr>
          <t>Thando Dube:</t>
        </r>
        <r>
          <rPr>
            <sz val="9"/>
            <color indexed="81"/>
            <rFont val="Tahoma"/>
            <charset val="1"/>
          </rPr>
          <t xml:space="preserve">
Please note loan taken by the company should be used to finance revenue operations.Therefore interest related to capital expenditure items is not an allowable deduction.
</t>
        </r>
      </text>
    </comment>
    <comment ref="C6" authorId="0" shapeId="0">
      <text>
        <r>
          <rPr>
            <b/>
            <sz val="9"/>
            <color indexed="81"/>
            <rFont val="Tahoma"/>
            <charset val="1"/>
          </rPr>
          <t>Thando Dube:</t>
        </r>
        <r>
          <rPr>
            <sz val="9"/>
            <color indexed="81"/>
            <rFont val="Tahoma"/>
            <charset val="1"/>
          </rPr>
          <t xml:space="preserve">
Recoupment on expiry of lease=Market value -purchase price</t>
        </r>
      </text>
    </comment>
    <comment ref="C7" authorId="0" shapeId="0">
      <text>
        <r>
          <rPr>
            <b/>
            <sz val="9"/>
            <color indexed="81"/>
            <rFont val="Tahoma"/>
            <charset val="1"/>
          </rPr>
          <t>Thando Dube:</t>
        </r>
        <r>
          <rPr>
            <sz val="9"/>
            <color indexed="81"/>
            <rFont val="Tahoma"/>
            <charset val="1"/>
          </rPr>
          <t xml:space="preserve">
Note 4,the grading shed was destroyed by fire hence the entity received insurance proceeds of 20000.under normal circumstances we are supposed to calculate recoupment using the formula : Recoupment=Insurance proceeds - ITV of the damaged asset.
however in the scenario ,there is no recoupment because the entire insurance proceeds were used to buy a new shed(i.e. grading shed replacement).</t>
        </r>
      </text>
    </comment>
    <comment ref="C9" authorId="0" shapeId="0">
      <text>
        <r>
          <rPr>
            <b/>
            <sz val="9"/>
            <color indexed="81"/>
            <rFont val="Tahoma"/>
            <charset val="1"/>
          </rPr>
          <t>Thando Dube:</t>
        </r>
        <r>
          <rPr>
            <sz val="9"/>
            <color indexed="81"/>
            <rFont val="Tahoma"/>
            <charset val="1"/>
          </rPr>
          <t xml:space="preserve">
Not related to farming operations.</t>
        </r>
      </text>
    </comment>
    <comment ref="C12" authorId="0" shapeId="0">
      <text>
        <r>
          <rPr>
            <b/>
            <sz val="9"/>
            <color indexed="81"/>
            <rFont val="Tahoma"/>
            <charset val="1"/>
          </rPr>
          <t>Thando Dube:</t>
        </r>
        <r>
          <rPr>
            <sz val="9"/>
            <color indexed="81"/>
            <rFont val="Tahoma"/>
            <charset val="1"/>
          </rPr>
          <t xml:space="preserve">
Charitable donations are not allowable.
Don’t forget to read on restrictions for allowable donations e.g donation to the national scholarship fund</t>
        </r>
      </text>
    </comment>
    <comment ref="C14" authorId="0" shapeId="0">
      <text>
        <r>
          <rPr>
            <b/>
            <sz val="9"/>
            <color indexed="81"/>
            <rFont val="Tahoma"/>
            <charset val="1"/>
          </rPr>
          <t>Thando Dube:</t>
        </r>
        <r>
          <rPr>
            <sz val="9"/>
            <color indexed="81"/>
            <rFont val="Tahoma"/>
            <charset val="1"/>
          </rPr>
          <t xml:space="preserve">
Potential recoupment=Proceeds -ITV
=65000-25000=40000
however recoupment is limited to capital allowances previously claimed,
=Original cost-ITV
=61035-25000
36035
Therefore our actual recoupment will be 36035</t>
        </r>
      </text>
    </comment>
    <comment ref="C17" authorId="0" shapeId="0">
      <text>
        <r>
          <rPr>
            <b/>
            <sz val="9"/>
            <color indexed="81"/>
            <rFont val="Tahoma"/>
            <charset val="1"/>
          </rPr>
          <t>Thando Dube:</t>
        </r>
        <r>
          <rPr>
            <sz val="9"/>
            <color indexed="81"/>
            <rFont val="Tahoma"/>
            <charset val="1"/>
          </rPr>
          <t xml:space="preserve">
NB for inherited livestock we use the value for estate duty(estate valuation)</t>
        </r>
      </text>
    </comment>
    <comment ref="A23" authorId="0" shapeId="0">
      <text>
        <r>
          <rPr>
            <b/>
            <sz val="9"/>
            <color indexed="81"/>
            <rFont val="Tahoma"/>
            <charset val="1"/>
          </rPr>
          <t>Thando Dube:</t>
        </r>
        <r>
          <rPr>
            <sz val="9"/>
            <color indexed="81"/>
            <rFont val="Tahoma"/>
            <charset val="1"/>
          </rPr>
          <t xml:space="preserve">
A farmer is allowed to claim 7th schedule regardless of the completion stage of the activity e.g if the construction of the dam at the end of the year is incomplete,one can still claim the 7th schedule.</t>
        </r>
      </text>
    </comment>
    <comment ref="C24" authorId="0" shapeId="0">
      <text>
        <r>
          <rPr>
            <b/>
            <sz val="9"/>
            <color indexed="81"/>
            <rFont val="Tahoma"/>
            <charset val="1"/>
          </rPr>
          <t>Thando Dube:</t>
        </r>
        <r>
          <rPr>
            <sz val="9"/>
            <color indexed="81"/>
            <rFont val="Tahoma"/>
            <charset val="1"/>
          </rPr>
          <t xml:space="preserve">
For 7th schedule allowances make sure you add them back and then claim them under the 7th schedule.The net effect is 0
</t>
        </r>
      </text>
    </comment>
    <comment ref="C26" authorId="0" shapeId="0">
      <text>
        <r>
          <rPr>
            <b/>
            <sz val="9"/>
            <color indexed="81"/>
            <rFont val="Tahoma"/>
            <charset val="1"/>
          </rPr>
          <t>Thando Dube:</t>
        </r>
        <r>
          <rPr>
            <sz val="9"/>
            <color indexed="81"/>
            <rFont val="Tahoma"/>
            <charset val="1"/>
          </rPr>
          <t xml:space="preserve">
other items of water conservation work include construction of a dam,embarkment etc.</t>
        </r>
      </text>
    </comment>
    <comment ref="C27" authorId="0" shapeId="0">
      <text>
        <r>
          <rPr>
            <b/>
            <sz val="9"/>
            <color indexed="81"/>
            <rFont val="Tahoma"/>
            <charset val="1"/>
          </rPr>
          <t>Thando Dube:</t>
        </r>
        <r>
          <rPr>
            <sz val="9"/>
            <color indexed="81"/>
            <rFont val="Tahoma"/>
            <charset val="1"/>
          </rPr>
          <t xml:space="preserve">
For fencing make sure that it is related to farming activities.
</t>
        </r>
      </text>
    </comment>
    <comment ref="C30" authorId="0" shapeId="0">
      <text>
        <r>
          <rPr>
            <b/>
            <sz val="9"/>
            <color indexed="81"/>
            <rFont val="Tahoma"/>
            <family val="2"/>
          </rPr>
          <t>Thando Dube:</t>
        </r>
        <r>
          <rPr>
            <sz val="9"/>
            <color indexed="81"/>
            <rFont val="Tahoma"/>
            <family val="2"/>
          </rPr>
          <t xml:space="preserve">
we use cost since this was purchased at the year end of the previous year
</t>
        </r>
      </text>
    </comment>
    <comment ref="C32" authorId="0" shapeId="0">
      <text>
        <r>
          <rPr>
            <b/>
            <sz val="9"/>
            <color indexed="81"/>
            <rFont val="Tahoma"/>
            <family val="2"/>
          </rPr>
          <t>Thando Dube:</t>
        </r>
        <r>
          <rPr>
            <sz val="9"/>
            <color indexed="81"/>
            <rFont val="Tahoma"/>
            <family val="2"/>
          </rPr>
          <t xml:space="preserve">
No SIA since it was disposed off</t>
        </r>
      </text>
    </comment>
    <comment ref="C33" authorId="0" shapeId="0">
      <text>
        <r>
          <rPr>
            <b/>
            <sz val="9"/>
            <color indexed="81"/>
            <rFont val="Tahoma"/>
            <family val="2"/>
          </rPr>
          <t>Thando Dube:</t>
        </r>
        <r>
          <rPr>
            <sz val="9"/>
            <color indexed="81"/>
            <rFont val="Tahoma"/>
            <family val="2"/>
          </rPr>
          <t xml:space="preserve">
no SIA since it was damaged,claim on the replacement instead</t>
        </r>
      </text>
    </comment>
    <comment ref="C36" authorId="0" shapeId="0">
      <text>
        <r>
          <rPr>
            <b/>
            <sz val="9"/>
            <color indexed="81"/>
            <rFont val="Tahoma"/>
            <family val="2"/>
          </rPr>
          <t>Thando Dube:</t>
        </r>
        <r>
          <rPr>
            <sz val="9"/>
            <color indexed="81"/>
            <rFont val="Tahoma"/>
            <family val="2"/>
          </rPr>
          <t xml:space="preserve">
do not claim capital allowances on the owner's homestead.</t>
        </r>
      </text>
    </comment>
    <comment ref="C37" authorId="0" shapeId="0">
      <text>
        <r>
          <rPr>
            <b/>
            <sz val="9"/>
            <color indexed="81"/>
            <rFont val="Tahoma"/>
            <family val="2"/>
          </rPr>
          <t>Thando Dube:</t>
        </r>
        <r>
          <rPr>
            <sz val="9"/>
            <color indexed="81"/>
            <rFont val="Tahoma"/>
            <family val="2"/>
          </rPr>
          <t xml:space="preserve">
Please read on the following for 4th schedule allowances:
PMV
Industrial building
Commercoial building.</t>
        </r>
      </text>
    </comment>
  </commentList>
</comments>
</file>

<file path=xl/sharedStrings.xml><?xml version="1.0" encoding="utf-8"?>
<sst xmlns="http://schemas.openxmlformats.org/spreadsheetml/2006/main" count="34" uniqueCount="34">
  <si>
    <t>Net profit</t>
  </si>
  <si>
    <t>Add</t>
  </si>
  <si>
    <t>Depreciation</t>
  </si>
  <si>
    <t>7th schedule allowances</t>
  </si>
  <si>
    <t xml:space="preserve">Aerial survey </t>
  </si>
  <si>
    <t>Contour ridging for soil erosion</t>
  </si>
  <si>
    <t>Taxable income</t>
  </si>
  <si>
    <t xml:space="preserve">Inherited livestock </t>
  </si>
  <si>
    <t>Private interest payable: (150000/200000 *40000)</t>
  </si>
  <si>
    <t>Maize sheller recoupment:(30000-12000)</t>
  </si>
  <si>
    <t>Grading shed recoupment</t>
  </si>
  <si>
    <t>Legal fees in respect of water rights(capital in nature)</t>
  </si>
  <si>
    <t>Insurance:Mr G's life</t>
  </si>
  <si>
    <t>Aerial survey(7th schedule)</t>
  </si>
  <si>
    <t>Contour ridging (7th schedule)</t>
  </si>
  <si>
    <t xml:space="preserve">Donation </t>
  </si>
  <si>
    <t>Private loan raising fee: 150000/200000*2400</t>
  </si>
  <si>
    <t>Recoupment on sale of truck</t>
  </si>
  <si>
    <t>Less allowable deductions &amp; prohibited income</t>
  </si>
  <si>
    <t>Medical aid refund</t>
  </si>
  <si>
    <t>Insurance claim</t>
  </si>
  <si>
    <t>Proceeds ex truck</t>
  </si>
  <si>
    <t xml:space="preserve">Zim dividends </t>
  </si>
  <si>
    <t>Weir (water conservation work )</t>
  </si>
  <si>
    <t xml:space="preserve">Fencing </t>
  </si>
  <si>
    <t>4th schedule allowances</t>
  </si>
  <si>
    <t>Plant &amp; equipment(0.25*90000)</t>
  </si>
  <si>
    <t>Truck</t>
  </si>
  <si>
    <t>Grading shed-12000</t>
  </si>
  <si>
    <t>Trailers(60000*0.25)</t>
  </si>
  <si>
    <t>Grading shed replacement(30000*0.25)</t>
  </si>
  <si>
    <t>Staff house(10000*0.25) staff housing cost is limited to 10000usd it should not exceed this amount</t>
  </si>
  <si>
    <t>Homestead</t>
  </si>
  <si>
    <t>Landrover(0.25*300000)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</si>
</sst>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b/>
      <u/>
      <sz val="11"/>
      <color theme="1"/>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s>
  <fills count="2">
    <fill>
      <patternFill patternType="none"/>
    </fill>
    <fill>
      <patternFill patternType="gray125"/>
    </fill>
  </fills>
  <borders count="4">
    <border>
      <left/>
      <right/>
      <top/>
      <bottom/>
      <diagonal/>
    </border>
    <border>
      <left/>
      <right/>
      <top style="thin">
        <color indexed="64"/>
      </top>
      <bottom style="double">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37" fontId="0" fillId="0" borderId="0" xfId="0" applyNumberFormat="1"/>
    <xf numFmtId="37" fontId="0" fillId="0" borderId="2" xfId="0" applyNumberFormat="1" applyBorder="1"/>
    <xf numFmtId="37" fontId="0" fillId="0" borderId="1" xfId="0" applyNumberFormat="1" applyBorder="1"/>
    <xf numFmtId="37" fontId="1" fillId="0" borderId="0" xfId="0" applyNumberFormat="1" applyFont="1"/>
    <xf numFmtId="3" fontId="0" fillId="0" borderId="0" xfId="0" applyNumberFormat="1"/>
    <xf numFmtId="0" fontId="0" fillId="0" borderId="0" xfId="0" applyFont="1"/>
    <xf numFmtId="37" fontId="0" fillId="0" borderId="3" xfId="0" applyNumberFormat="1" applyBorder="1"/>
    <xf numFmtId="37" fontId="1" fillId="0" borderId="0"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C64"/>
  <sheetViews>
    <sheetView tabSelected="1" workbookViewId="0">
      <selection activeCell="G46" sqref="G46"/>
    </sheetView>
  </sheetViews>
  <sheetFormatPr defaultRowHeight="15" x14ac:dyDescent="0.25"/>
  <cols>
    <col min="1" max="1" width="89.5703125" bestFit="1" customWidth="1"/>
    <col min="2" max="3" width="9.140625" style="3"/>
  </cols>
  <sheetData>
    <row r="2" spans="1:3" x14ac:dyDescent="0.25">
      <c r="A2" t="s">
        <v>0</v>
      </c>
      <c r="C2" s="3">
        <v>238000</v>
      </c>
    </row>
    <row r="3" spans="1:3" x14ac:dyDescent="0.25">
      <c r="A3" s="2" t="s">
        <v>1</v>
      </c>
    </row>
    <row r="4" spans="1:3" x14ac:dyDescent="0.25">
      <c r="A4" t="s">
        <v>2</v>
      </c>
      <c r="C4" s="3">
        <v>40000</v>
      </c>
    </row>
    <row r="5" spans="1:3" x14ac:dyDescent="0.25">
      <c r="A5" t="s">
        <v>8</v>
      </c>
      <c r="C5" s="3">
        <f>(150000/200000)*40000</f>
        <v>30000</v>
      </c>
    </row>
    <row r="6" spans="1:3" x14ac:dyDescent="0.25">
      <c r="A6" t="s">
        <v>9</v>
      </c>
      <c r="C6" s="3">
        <f>30000-12000</f>
        <v>18000</v>
      </c>
    </row>
    <row r="7" spans="1:3" x14ac:dyDescent="0.25">
      <c r="A7" t="s">
        <v>10</v>
      </c>
      <c r="C7" s="3">
        <v>0</v>
      </c>
    </row>
    <row r="8" spans="1:3" x14ac:dyDescent="0.25">
      <c r="A8" t="s">
        <v>11</v>
      </c>
      <c r="C8" s="3">
        <v>5000</v>
      </c>
    </row>
    <row r="9" spans="1:3" x14ac:dyDescent="0.25">
      <c r="A9" t="s">
        <v>12</v>
      </c>
      <c r="C9" s="3">
        <v>2000</v>
      </c>
    </row>
    <row r="10" spans="1:3" x14ac:dyDescent="0.25">
      <c r="A10" t="s">
        <v>13</v>
      </c>
      <c r="C10" s="3">
        <v>5000</v>
      </c>
    </row>
    <row r="11" spans="1:3" x14ac:dyDescent="0.25">
      <c r="A11" t="s">
        <v>14</v>
      </c>
      <c r="C11" s="3">
        <v>7500</v>
      </c>
    </row>
    <row r="12" spans="1:3" x14ac:dyDescent="0.25">
      <c r="A12" t="s">
        <v>15</v>
      </c>
      <c r="C12" s="3">
        <v>500</v>
      </c>
    </row>
    <row r="13" spans="1:3" x14ac:dyDescent="0.25">
      <c r="A13" t="s">
        <v>16</v>
      </c>
      <c r="C13" s="3">
        <f>(150000/200000)*2400</f>
        <v>1800</v>
      </c>
    </row>
    <row r="14" spans="1:3" x14ac:dyDescent="0.25">
      <c r="A14" t="s">
        <v>17</v>
      </c>
      <c r="C14" s="3">
        <f>61035-25000</f>
        <v>36035</v>
      </c>
    </row>
    <row r="15" spans="1:3" x14ac:dyDescent="0.25">
      <c r="C15" s="4">
        <f>SUM(C2:C14)</f>
        <v>383835</v>
      </c>
    </row>
    <row r="16" spans="1:3" x14ac:dyDescent="0.25">
      <c r="A16" s="2" t="s">
        <v>18</v>
      </c>
    </row>
    <row r="17" spans="1:3" x14ac:dyDescent="0.25">
      <c r="A17" t="s">
        <v>7</v>
      </c>
      <c r="C17" s="3">
        <v>26000</v>
      </c>
    </row>
    <row r="18" spans="1:3" x14ac:dyDescent="0.25">
      <c r="A18" t="s">
        <v>19</v>
      </c>
      <c r="C18" s="3">
        <v>600</v>
      </c>
    </row>
    <row r="19" spans="1:3" x14ac:dyDescent="0.25">
      <c r="A19" t="s">
        <v>20</v>
      </c>
      <c r="C19" s="3">
        <v>20000</v>
      </c>
    </row>
    <row r="20" spans="1:3" x14ac:dyDescent="0.25">
      <c r="A20" t="s">
        <v>21</v>
      </c>
      <c r="C20" s="3">
        <v>65000</v>
      </c>
    </row>
    <row r="21" spans="1:3" x14ac:dyDescent="0.25">
      <c r="A21" t="s">
        <v>22</v>
      </c>
      <c r="C21" s="3">
        <v>1500</v>
      </c>
    </row>
    <row r="23" spans="1:3" x14ac:dyDescent="0.25">
      <c r="A23" s="2" t="s">
        <v>3</v>
      </c>
    </row>
    <row r="24" spans="1:3" x14ac:dyDescent="0.25">
      <c r="A24" t="s">
        <v>4</v>
      </c>
      <c r="C24" s="3">
        <f>C10</f>
        <v>5000</v>
      </c>
    </row>
    <row r="25" spans="1:3" x14ac:dyDescent="0.25">
      <c r="A25" t="s">
        <v>5</v>
      </c>
      <c r="C25" s="3">
        <f>C11</f>
        <v>7500</v>
      </c>
    </row>
    <row r="26" spans="1:3" x14ac:dyDescent="0.25">
      <c r="A26" t="s">
        <v>23</v>
      </c>
      <c r="C26" s="3">
        <v>36000</v>
      </c>
    </row>
    <row r="27" spans="1:3" x14ac:dyDescent="0.25">
      <c r="A27" t="s">
        <v>24</v>
      </c>
      <c r="C27" s="3">
        <v>0</v>
      </c>
    </row>
    <row r="29" spans="1:3" x14ac:dyDescent="0.25">
      <c r="A29" s="1" t="s">
        <v>25</v>
      </c>
    </row>
    <row r="30" spans="1:3" x14ac:dyDescent="0.25">
      <c r="A30" s="8" t="s">
        <v>26</v>
      </c>
      <c r="C30" s="3">
        <f>0.25*90000</f>
        <v>22500</v>
      </c>
    </row>
    <row r="31" spans="1:3" x14ac:dyDescent="0.25">
      <c r="A31" s="8" t="s">
        <v>29</v>
      </c>
      <c r="C31" s="3">
        <f>60000*0.25</f>
        <v>15000</v>
      </c>
    </row>
    <row r="32" spans="1:3" x14ac:dyDescent="0.25">
      <c r="A32" s="8" t="s">
        <v>27</v>
      </c>
    </row>
    <row r="33" spans="1:3" x14ac:dyDescent="0.25">
      <c r="A33" s="8" t="s">
        <v>28</v>
      </c>
    </row>
    <row r="34" spans="1:3" x14ac:dyDescent="0.25">
      <c r="A34" s="8" t="s">
        <v>30</v>
      </c>
      <c r="C34" s="3">
        <f>0.25*30000</f>
        <v>7500</v>
      </c>
    </row>
    <row r="35" spans="1:3" x14ac:dyDescent="0.25">
      <c r="A35" s="8" t="s">
        <v>31</v>
      </c>
      <c r="C35" s="3">
        <v>2500</v>
      </c>
    </row>
    <row r="36" spans="1:3" x14ac:dyDescent="0.25">
      <c r="A36" s="8" t="s">
        <v>32</v>
      </c>
      <c r="C36" s="3">
        <v>0</v>
      </c>
    </row>
    <row r="37" spans="1:3" x14ac:dyDescent="0.25">
      <c r="A37" s="8" t="s">
        <v>33</v>
      </c>
      <c r="C37" s="3">
        <f>0.25*300000</f>
        <v>75000</v>
      </c>
    </row>
    <row r="38" spans="1:3" x14ac:dyDescent="0.25">
      <c r="A38" s="8"/>
      <c r="C38" s="9">
        <f>SUM(C17:C37)</f>
        <v>284100</v>
      </c>
    </row>
    <row r="40" spans="1:3" ht="15.75" thickBot="1" x14ac:dyDescent="0.3">
      <c r="A40" t="s">
        <v>6</v>
      </c>
      <c r="C40" s="5">
        <f>C15-C38</f>
        <v>99735</v>
      </c>
    </row>
    <row r="41" spans="1:3" ht="15.75" thickTop="1" x14ac:dyDescent="0.25"/>
    <row r="45" spans="1:3" x14ac:dyDescent="0.25">
      <c r="A45" s="2"/>
    </row>
    <row r="48" spans="1:3" x14ac:dyDescent="0.25">
      <c r="A48" s="2"/>
    </row>
    <row r="54" spans="1:3" x14ac:dyDescent="0.25">
      <c r="A54" s="1"/>
      <c r="B54" s="6"/>
      <c r="C54" s="10"/>
    </row>
    <row r="56" spans="1:3" x14ac:dyDescent="0.25">
      <c r="A56" s="2"/>
    </row>
    <row r="58" spans="1:3" x14ac:dyDescent="0.25">
      <c r="A58" s="7"/>
    </row>
    <row r="61" spans="1:3" x14ac:dyDescent="0.25">
      <c r="A61" s="2"/>
    </row>
    <row r="64" spans="1:3" x14ac:dyDescent="0.25">
      <c r="A64" s="7"/>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Thando Dube</dc:creator>
  <cp:lastModifiedBy>Thando Dube</cp:lastModifiedBy>
  <dcterms:created xsi:type="dcterms:W3CDTF">2023-03-06T19:17:27Z</dcterms:created>
  <dcterms:modified xsi:type="dcterms:W3CDTF">2023-03-10T16:25:58Z</dcterms:modified>
</cp:coreProperties>
</file>