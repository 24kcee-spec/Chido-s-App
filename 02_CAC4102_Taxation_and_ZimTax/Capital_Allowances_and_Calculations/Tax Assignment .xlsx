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929UJ\OneDrive - EY\Desktop\"/>
    </mc:Choice>
  </mc:AlternateContent>
  <xr:revisionPtr revIDLastSave="0" documentId="13_ncr:1_{D5AE416C-0FC6-4BEE-9CAF-AB40ED79E20B}" xr6:coauthVersionLast="47" xr6:coauthVersionMax="47" xr10:uidLastSave="{00000000-0000-0000-0000-000000000000}"/>
  <bookViews>
    <workbookView xWindow="-110" yWindow="-110" windowWidth="19420" windowHeight="10420" activeTab="1" xr2:uid="{A2E8021A-17D7-4EED-A339-6934C257E7C4}"/>
  </bookViews>
  <sheets>
    <sheet name="Sheet1" sheetId="1" r:id="rId1"/>
    <sheet name="Company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2" l="1"/>
  <c r="H43" i="2"/>
  <c r="I42" i="2"/>
  <c r="H42" i="2"/>
  <c r="I41" i="2"/>
  <c r="H41" i="2"/>
  <c r="H34" i="2"/>
  <c r="I76" i="2"/>
  <c r="I77" i="2" s="1"/>
  <c r="I78" i="2" s="1"/>
  <c r="I79" i="2" s="1"/>
  <c r="H32" i="2"/>
  <c r="H39" i="2" s="1"/>
  <c r="I23" i="2"/>
  <c r="G24" i="2"/>
  <c r="K11" i="2"/>
  <c r="J11" i="2"/>
  <c r="L11" i="2" s="1"/>
  <c r="D31" i="2" s="1"/>
  <c r="D47" i="2" s="1"/>
  <c r="I20" i="2"/>
  <c r="I21" i="2"/>
  <c r="I22" i="2"/>
  <c r="D14" i="2" s="1"/>
  <c r="K10" i="2"/>
  <c r="L10" i="2" s="1"/>
  <c r="K9" i="2"/>
  <c r="L9" i="2" s="1"/>
  <c r="J9" i="2"/>
  <c r="J10" i="2"/>
  <c r="K8" i="2"/>
  <c r="L8" i="2" s="1"/>
  <c r="J8" i="2"/>
  <c r="I65" i="2"/>
  <c r="H33" i="2" s="1"/>
  <c r="I54" i="2"/>
  <c r="I56" i="2" s="1"/>
  <c r="I48" i="2"/>
  <c r="D13" i="2" s="1"/>
  <c r="D15" i="2" l="1"/>
  <c r="D17" i="2" s="1"/>
  <c r="C49" i="2"/>
  <c r="I32" i="2"/>
  <c r="I39" i="2" s="1"/>
  <c r="L12" i="2"/>
  <c r="I24" i="2"/>
  <c r="H31" i="2" l="1"/>
  <c r="H35" i="2" s="1"/>
  <c r="H36" i="2" s="1"/>
  <c r="C50" i="2"/>
  <c r="I31" i="2" s="1"/>
  <c r="I35" i="2" s="1"/>
  <c r="I36" i="2" s="1"/>
  <c r="D50" i="2" l="1"/>
</calcChain>
</file>

<file path=xl/sharedStrings.xml><?xml version="1.0" encoding="utf-8"?>
<sst xmlns="http://schemas.openxmlformats.org/spreadsheetml/2006/main" count="151" uniqueCount="128">
  <si>
    <t xml:space="preserve">Details </t>
  </si>
  <si>
    <t xml:space="preserve">Reason </t>
  </si>
  <si>
    <t xml:space="preserve">Amount </t>
  </si>
  <si>
    <t xml:space="preserve">Net Profit </t>
  </si>
  <si>
    <t xml:space="preserve">given </t>
  </si>
  <si>
    <t xml:space="preserve">add depreciation </t>
  </si>
  <si>
    <t xml:space="preserve">not incured </t>
  </si>
  <si>
    <t xml:space="preserve">preliminary incoporation expenses </t>
  </si>
  <si>
    <t>deductible section 152t</t>
  </si>
  <si>
    <t xml:space="preserve">Licence fee </t>
  </si>
  <si>
    <t xml:space="preserve">incured to start operations capital nature </t>
  </si>
  <si>
    <t xml:space="preserve">Capital Allowances </t>
  </si>
  <si>
    <t xml:space="preserve">Ford Ranger </t>
  </si>
  <si>
    <t xml:space="preserve">Deemed Cost </t>
  </si>
  <si>
    <t xml:space="preserve">SIA </t>
  </si>
  <si>
    <t xml:space="preserve">Wear and Tear </t>
  </si>
  <si>
    <t>-</t>
  </si>
  <si>
    <t>Used for less than 90% for trade hence we cant claim SIA</t>
  </si>
  <si>
    <t>W1</t>
  </si>
  <si>
    <t>W2</t>
  </si>
  <si>
    <t xml:space="preserve">Pension withdrawal </t>
  </si>
  <si>
    <t xml:space="preserve">Pension amount </t>
  </si>
  <si>
    <t>less exempt presciped amount xxxx</t>
  </si>
  <si>
    <t xml:space="preserve">Transfare to RAF </t>
  </si>
  <si>
    <t xml:space="preserve">Taxable Income </t>
  </si>
  <si>
    <t xml:space="preserve">Tax @ Marginal Tax rate </t>
  </si>
  <si>
    <t xml:space="preserve">Tax Liability from Withdrawal </t>
  </si>
  <si>
    <t xml:space="preserve">to update </t>
  </si>
  <si>
    <t xml:space="preserve">Taxable Profit from Luveve Enterprice </t>
  </si>
  <si>
    <t xml:space="preserve">Profit </t>
  </si>
  <si>
    <r>
      <rPr>
        <b/>
        <sz val="9"/>
        <color theme="1"/>
        <rFont val="EYInterstate"/>
      </rPr>
      <t>add</t>
    </r>
    <r>
      <rPr>
        <sz val="9"/>
        <color theme="1"/>
        <rFont val="EYInterstate"/>
      </rPr>
      <t xml:space="preserve"> Depreciation </t>
    </r>
  </si>
  <si>
    <t xml:space="preserve">Drinks taken for own use****** </t>
  </si>
  <si>
    <t xml:space="preserve">****8 inventory taken for own use is gross income secion 8(u) and 2nd Schedule  and the value is the market value </t>
  </si>
  <si>
    <t>W3</t>
  </si>
  <si>
    <t xml:space="preserve">Total Taxable income </t>
  </si>
  <si>
    <t xml:space="preserve">Note </t>
  </si>
  <si>
    <t xml:space="preserve">Note we can add this to Mike Patnership income since the treatment ins the same </t>
  </si>
  <si>
    <t xml:space="preserve">**** same with the rental income from the luveve property we shall add it to his patnership income </t>
  </si>
  <si>
    <t xml:space="preserve">Taxable Income from the new company </t>
  </si>
  <si>
    <t>Less Capital Allowances on transfared assets</t>
  </si>
  <si>
    <t xml:space="preserve">Computation of recoupment and capital allowances on assets transfared </t>
  </si>
  <si>
    <t>a deemed sale occurred on the sales of the assets to the new company and the recoupment is taxable 8(1)(i)</t>
  </si>
  <si>
    <t xml:space="preserve">Transfare Value </t>
  </si>
  <si>
    <t xml:space="preserve">Cost </t>
  </si>
  <si>
    <t xml:space="preserve">ITV </t>
  </si>
  <si>
    <t xml:space="preserve">Capital Allowance Granted </t>
  </si>
  <si>
    <t>A</t>
  </si>
  <si>
    <t>B</t>
  </si>
  <si>
    <t>A-B</t>
  </si>
  <si>
    <t xml:space="preserve">Potential Recoupment </t>
  </si>
  <si>
    <t>C</t>
  </si>
  <si>
    <t>C-B</t>
  </si>
  <si>
    <t xml:space="preserve">Furniture </t>
  </si>
  <si>
    <t xml:space="preserve">Equipment </t>
  </si>
  <si>
    <t xml:space="preserve">Delivery Van </t>
  </si>
  <si>
    <t xml:space="preserve">Computation of Patnership Taxable income </t>
  </si>
  <si>
    <t xml:space="preserve">Actual Recoupment </t>
  </si>
  <si>
    <t xml:space="preserve">Take the lower </t>
  </si>
  <si>
    <t xml:space="preserve">Stock </t>
  </si>
  <si>
    <t xml:space="preserve">No recoupment its not a ranking asset for capital allowances </t>
  </si>
  <si>
    <t xml:space="preserve">Grand total </t>
  </si>
  <si>
    <t xml:space="preserve">Recoupment on disposal of assets </t>
  </si>
  <si>
    <t xml:space="preserve">Computation of capital allowances for the new company </t>
  </si>
  <si>
    <t xml:space="preserve">Take the transfare value as the purchase cost and claim SIA </t>
  </si>
  <si>
    <t xml:space="preserve">Rate </t>
  </si>
  <si>
    <t xml:space="preserve">Claimable allowances </t>
  </si>
  <si>
    <t xml:space="preserve">Less Capital Allowances  on Ford Ranger computed on deemed cost </t>
  </si>
  <si>
    <t>section 152c and 4th schedule</t>
  </si>
  <si>
    <t>W4</t>
  </si>
  <si>
    <t>W5</t>
  </si>
  <si>
    <t>Working  5</t>
  </si>
  <si>
    <t xml:space="preserve">Recoupment on sale of prefabricated bulding </t>
  </si>
  <si>
    <r>
      <t>81i on deemed sales</t>
    </r>
    <r>
      <rPr>
        <b/>
        <sz val="9"/>
        <color rgb="FFC00000"/>
        <rFont val="EYInterstate"/>
      </rPr>
      <t xml:space="preserve">  (W4)</t>
    </r>
  </si>
  <si>
    <t xml:space="preserve">81i actual sale  </t>
  </si>
  <si>
    <t xml:space="preserve">Prefabricated building </t>
  </si>
  <si>
    <t xml:space="preserve">purchased immovable can rank for sia </t>
  </si>
  <si>
    <t>purchased immovable cant rank for SIA</t>
  </si>
  <si>
    <t xml:space="preserve">Given </t>
  </si>
  <si>
    <t xml:space="preserve">Rentals </t>
  </si>
  <si>
    <t xml:space="preserve">gross income 81a </t>
  </si>
  <si>
    <t xml:space="preserve">Local dividends </t>
  </si>
  <si>
    <t xml:space="preserve">exempt </t>
  </si>
  <si>
    <t xml:space="preserve">Profit on sale  to the new company </t>
  </si>
  <si>
    <t xml:space="preserve">accounting estimate </t>
  </si>
  <si>
    <t xml:space="preserve">Interest from cabs </t>
  </si>
  <si>
    <t xml:space="preserve">Depreciation </t>
  </si>
  <si>
    <t xml:space="preserve">Company formation expenses </t>
  </si>
  <si>
    <t xml:space="preserve">capital in nature </t>
  </si>
  <si>
    <t xml:space="preserve">Staff salaries and business insurance </t>
  </si>
  <si>
    <t xml:space="preserve">deductibe 152a </t>
  </si>
  <si>
    <t xml:space="preserve">Policy were patner is a beneficiary </t>
  </si>
  <si>
    <t xml:space="preserve">Joint Patners Life policy </t>
  </si>
  <si>
    <t xml:space="preserve">non deductible </t>
  </si>
  <si>
    <t>Drawings *****(its most likely that these were not expensed hence no effect)</t>
  </si>
  <si>
    <t xml:space="preserve">Medical Contributions </t>
  </si>
  <si>
    <t xml:space="preserve">deductible </t>
  </si>
  <si>
    <t xml:space="preserve">Patnership Appropriation </t>
  </si>
  <si>
    <t xml:space="preserve">Mike </t>
  </si>
  <si>
    <t xml:space="preserve">James </t>
  </si>
  <si>
    <t xml:space="preserve">share of profits </t>
  </si>
  <si>
    <t xml:space="preserve">medical benefit </t>
  </si>
  <si>
    <t xml:space="preserve">credits : Medical </t>
  </si>
  <si>
    <t>deductible 152w</t>
  </si>
  <si>
    <t xml:space="preserve">Fine </t>
  </si>
  <si>
    <t xml:space="preserve">Prohibited deduction </t>
  </si>
  <si>
    <t>Trade convection fees ** there is a limit however its ZW$</t>
  </si>
  <si>
    <t xml:space="preserve">Total Taxable Income </t>
  </si>
  <si>
    <t xml:space="preserve">Appropriation </t>
  </si>
  <si>
    <t>Mike</t>
  </si>
  <si>
    <t xml:space="preserve">Mike income from luveve </t>
  </si>
  <si>
    <t xml:space="preserve">Mikes Employement Income </t>
  </si>
  <si>
    <t xml:space="preserve">Salary </t>
  </si>
  <si>
    <t xml:space="preserve">Pension ocntribution limited to 4,5% </t>
  </si>
  <si>
    <t xml:space="preserve">Taxable Income from Employement </t>
  </si>
  <si>
    <t>Tax Liabilty @ 20%</t>
  </si>
  <si>
    <t xml:space="preserve">Apply the correct tax table on this </t>
  </si>
  <si>
    <t xml:space="preserve">Total Income </t>
  </si>
  <si>
    <t xml:space="preserve">included here since the tax rate is the same </t>
  </si>
  <si>
    <t xml:space="preserve">Rentals due to Mike  </t>
  </si>
  <si>
    <t xml:space="preserve">              : Elderly credit </t>
  </si>
  <si>
    <t xml:space="preserve">This accrued to an elderly person hence not taxable </t>
  </si>
  <si>
    <t xml:space="preserve">Tax rate </t>
  </si>
  <si>
    <t xml:space="preserve">Tax Liability for the new company </t>
  </si>
  <si>
    <t xml:space="preserve">Use the rate used on the PAYE computation since it’s the TPs marginal rate </t>
  </si>
  <si>
    <t>Tax @ 24,72</t>
  </si>
  <si>
    <t xml:space="preserve">Tax Liability After Credits </t>
  </si>
  <si>
    <t xml:space="preserve">Add 3% aizy levy </t>
  </si>
  <si>
    <t xml:space="preserve">Total Liability due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</si>
</sst>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EYInterstate"/>
    </font>
    <font>
      <b/>
      <sz val="9"/>
      <color theme="1"/>
      <name val="EYInterstate"/>
    </font>
    <font>
      <b/>
      <sz val="9"/>
      <color rgb="FFC00000"/>
      <name val="EYInterstate"/>
    </font>
    <font>
      <i/>
      <sz val="9"/>
      <color theme="1"/>
      <name val="EYInterstate"/>
    </font>
    <font>
      <b/>
      <i/>
      <sz val="9"/>
      <color rgb="FFC00000"/>
      <name val="EYInterstate"/>
    </font>
    <font>
      <b/>
      <i/>
      <sz val="9"/>
      <color theme="1"/>
      <name val="EYInterstat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43" fontId="2" fillId="2" borderId="0" xfId="1" applyFont="1" applyFill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43" fontId="2" fillId="2" borderId="0" xfId="1" applyFont="1" applyFill="1" applyAlignment="1">
      <alignment horizontal="left"/>
    </xf>
    <xf numFmtId="43" fontId="2" fillId="2" borderId="0" xfId="1" applyFont="1" applyFill="1" applyAlignment="1">
      <alignment horizontal="right"/>
    </xf>
    <xf numFmtId="43" fontId="2" fillId="2" borderId="0" xfId="0" applyNumberFormat="1" applyFont="1" applyFill="1"/>
    <xf numFmtId="43" fontId="2" fillId="2" borderId="1" xfId="0" applyNumberFormat="1" applyFont="1" applyFill="1" applyBorder="1"/>
    <xf numFmtId="43" fontId="2" fillId="2" borderId="2" xfId="0" applyNumberFormat="1" applyFont="1" applyFill="1" applyBorder="1"/>
    <xf numFmtId="0" fontId="5" fillId="2" borderId="0" xfId="0" applyFont="1" applyFill="1"/>
    <xf numFmtId="0" fontId="6" fillId="2" borderId="0" xfId="0" applyFont="1" applyFill="1"/>
    <xf numFmtId="9" fontId="2" fillId="2" borderId="0" xfId="0" applyNumberFormat="1" applyFont="1" applyFill="1"/>
    <xf numFmtId="9" fontId="2" fillId="2" borderId="2" xfId="0" applyNumberFormat="1" applyFont="1" applyFill="1" applyBorder="1"/>
    <xf numFmtId="0" fontId="2" fillId="0" borderId="0" xfId="0" applyFont="1" applyFill="1"/>
    <xf numFmtId="43" fontId="2" fillId="0" borderId="0" xfId="1" applyFont="1" applyFill="1"/>
    <xf numFmtId="0" fontId="4" fillId="0" borderId="0" xfId="0" applyFont="1" applyFill="1"/>
    <xf numFmtId="43" fontId="2" fillId="0" borderId="0" xfId="0" applyNumberFormat="1" applyFont="1" applyFill="1"/>
    <xf numFmtId="0" fontId="2" fillId="0" borderId="5" xfId="0" applyFont="1" applyFill="1" applyBorder="1"/>
    <xf numFmtId="43" fontId="2" fillId="0" borderId="0" xfId="1" applyFont="1" applyFill="1" applyBorder="1"/>
    <xf numFmtId="43" fontId="2" fillId="0" borderId="0" xfId="0" applyNumberFormat="1" applyFont="1" applyFill="1" applyBorder="1"/>
    <xf numFmtId="43" fontId="2" fillId="0" borderId="6" xfId="0" applyNumberFormat="1" applyFont="1" applyFill="1" applyBorder="1"/>
    <xf numFmtId="0" fontId="2" fillId="0" borderId="0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43" fontId="2" fillId="0" borderId="9" xfId="0" applyNumberFormat="1" applyFont="1" applyFill="1" applyBorder="1"/>
    <xf numFmtId="9" fontId="2" fillId="0" borderId="0" xfId="0" applyNumberFormat="1" applyFont="1" applyFill="1" applyBorder="1"/>
    <xf numFmtId="0" fontId="2" fillId="2" borderId="0" xfId="0" applyFont="1" applyFill="1" applyBorder="1"/>
    <xf numFmtId="43" fontId="2" fillId="2" borderId="0" xfId="0" applyNumberFormat="1" applyFont="1" applyFill="1" applyBorder="1"/>
    <xf numFmtId="0" fontId="7" fillId="2" borderId="0" xfId="0" applyFont="1" applyFill="1"/>
    <xf numFmtId="9" fontId="2" fillId="0" borderId="0" xfId="0" applyNumberFormat="1" applyFont="1" applyFill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4" xfId="0" applyFont="1" applyFill="1" applyBorder="1"/>
    <xf numFmtId="43" fontId="2" fillId="4" borderId="0" xfId="1" applyFont="1" applyFill="1"/>
    <xf numFmtId="43" fontId="2" fillId="2" borderId="10" xfId="1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43" fontId="2" fillId="2" borderId="4" xfId="1" applyFont="1" applyFill="1" applyBorder="1"/>
    <xf numFmtId="0" fontId="2" fillId="2" borderId="5" xfId="0" applyFont="1" applyFill="1" applyBorder="1"/>
    <xf numFmtId="43" fontId="2" fillId="2" borderId="6" xfId="1" applyFont="1" applyFill="1" applyBorder="1"/>
    <xf numFmtId="0" fontId="2" fillId="2" borderId="0" xfId="0" applyFont="1" applyFill="1" applyBorder="1" applyAlignment="1">
      <alignment wrapText="1"/>
    </xf>
    <xf numFmtId="0" fontId="2" fillId="2" borderId="6" xfId="0" applyFont="1" applyFill="1" applyBorder="1"/>
    <xf numFmtId="43" fontId="2" fillId="2" borderId="6" xfId="0" applyNumberFormat="1" applyFont="1" applyFill="1" applyBorder="1"/>
    <xf numFmtId="0" fontId="3" fillId="2" borderId="5" xfId="0" applyFont="1" applyFill="1" applyBorder="1"/>
    <xf numFmtId="43" fontId="2" fillId="2" borderId="4" xfId="0" applyNumberFormat="1" applyFont="1" applyFill="1" applyBorder="1"/>
    <xf numFmtId="10" fontId="2" fillId="2" borderId="6" xfId="2" applyNumberFormat="1" applyFont="1" applyFill="1" applyBorder="1"/>
    <xf numFmtId="43" fontId="2" fillId="2" borderId="11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43" fontId="2" fillId="0" borderId="1" xfId="1" applyFont="1" applyFill="1" applyBorder="1"/>
    <xf numFmtId="43" fontId="2" fillId="0" borderId="1" xfId="0" applyNumberFormat="1" applyFont="1" applyFill="1" applyBorder="1"/>
    <xf numFmtId="43" fontId="2" fillId="2" borderId="10" xfId="0" applyNumberFormat="1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43" fontId="2" fillId="0" borderId="4" xfId="1" applyFont="1" applyFill="1" applyBorder="1"/>
    <xf numFmtId="43" fontId="2" fillId="0" borderId="6" xfId="1" applyFont="1" applyFill="1" applyBorder="1"/>
    <xf numFmtId="43" fontId="2" fillId="0" borderId="4" xfId="0" applyNumberFormat="1" applyFont="1" applyFill="1" applyBorder="1"/>
    <xf numFmtId="43" fontId="2" fillId="0" borderId="8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258F-B1B6-41A8-A9FC-195C186AF61A}">
  <dimension ref="A1"/>
  <sheetViews>
    <sheetView zoomScale="90" zoomScaleNormal="90" workbookViewId="0">
      <selection sqref="A1:XFD1048576"/>
    </sheetView>
  </sheetViews>
  <sheetFormatPr defaultRowHeight="12.5" x14ac:dyDescent="0.3"/>
  <cols>
    <col min="1" max="16384" width="8.7265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4E03-4486-485E-9B0C-C4C03DF0462C}">
  <dimension ref="B3:L83"/>
  <sheetViews>
    <sheetView tabSelected="1" zoomScale="90" zoomScaleNormal="90" workbookViewId="0">
      <selection activeCell="K37" sqref="H36:K37"/>
    </sheetView>
  </sheetViews>
  <sheetFormatPr defaultRowHeight="12.5" x14ac:dyDescent="0.3"/>
  <cols>
    <col min="1" max="1" width="8.7265625" style="3"/>
    <col min="2" max="2" width="50.6328125" style="3" customWidth="1"/>
    <col min="3" max="3" width="29.90625" style="3" customWidth="1"/>
    <col min="4" max="4" width="16.1796875" style="3" customWidth="1"/>
    <col min="5" max="5" width="14.453125" style="3" bestFit="1" customWidth="1"/>
    <col min="6" max="6" width="18.7265625" style="3" customWidth="1"/>
    <col min="7" max="7" width="13.6328125" style="3" bestFit="1" customWidth="1"/>
    <col min="8" max="8" width="12.26953125" style="3" customWidth="1"/>
    <col min="9" max="9" width="18.90625" style="3" customWidth="1"/>
    <col min="10" max="10" width="16.1796875" style="3" customWidth="1"/>
    <col min="11" max="11" width="15.08984375" style="3" customWidth="1"/>
    <col min="12" max="12" width="15.7265625" style="3" customWidth="1"/>
    <col min="13" max="16384" width="8.7265625" style="3"/>
  </cols>
  <sheetData>
    <row r="3" spans="2:12" ht="13.5" x14ac:dyDescent="0.35">
      <c r="F3" s="2" t="s">
        <v>68</v>
      </c>
    </row>
    <row r="4" spans="2:12" ht="13.5" x14ac:dyDescent="0.35">
      <c r="F4" s="2" t="s">
        <v>40</v>
      </c>
    </row>
    <row r="5" spans="2:12" x14ac:dyDescent="0.3">
      <c r="F5" s="3" t="s">
        <v>41</v>
      </c>
    </row>
    <row r="6" spans="2:12" ht="13.5" x14ac:dyDescent="0.35">
      <c r="B6" s="2" t="s">
        <v>38</v>
      </c>
      <c r="F6" s="18"/>
      <c r="G6" s="20" t="s">
        <v>50</v>
      </c>
      <c r="H6" s="20" t="s">
        <v>46</v>
      </c>
      <c r="I6" s="20" t="s">
        <v>47</v>
      </c>
      <c r="J6" s="20" t="s">
        <v>48</v>
      </c>
      <c r="K6" s="20" t="s">
        <v>51</v>
      </c>
      <c r="L6" s="18" t="s">
        <v>57</v>
      </c>
    </row>
    <row r="7" spans="2:12" ht="27" x14ac:dyDescent="0.35">
      <c r="B7" s="7" t="s">
        <v>0</v>
      </c>
      <c r="C7" s="7" t="s">
        <v>1</v>
      </c>
      <c r="D7" s="8" t="s">
        <v>2</v>
      </c>
      <c r="F7" s="35" t="s">
        <v>0</v>
      </c>
      <c r="G7" s="36" t="s">
        <v>42</v>
      </c>
      <c r="H7" s="36" t="s">
        <v>43</v>
      </c>
      <c r="I7" s="36" t="s">
        <v>44</v>
      </c>
      <c r="J7" s="37" t="s">
        <v>45</v>
      </c>
      <c r="K7" s="37" t="s">
        <v>49</v>
      </c>
      <c r="L7" s="38" t="s">
        <v>56</v>
      </c>
    </row>
    <row r="8" spans="2:12" x14ac:dyDescent="0.3">
      <c r="B8" s="41" t="s">
        <v>3</v>
      </c>
      <c r="C8" s="42" t="s">
        <v>4</v>
      </c>
      <c r="D8" s="43">
        <v>2300500</v>
      </c>
      <c r="F8" s="22" t="s">
        <v>52</v>
      </c>
      <c r="G8" s="23">
        <v>62000</v>
      </c>
      <c r="H8" s="23">
        <v>68000</v>
      </c>
      <c r="I8" s="23">
        <v>40154</v>
      </c>
      <c r="J8" s="24">
        <f>H8-I8</f>
        <v>27846</v>
      </c>
      <c r="K8" s="24">
        <f>G8-I8</f>
        <v>21846</v>
      </c>
      <c r="L8" s="25">
        <f>K8</f>
        <v>21846</v>
      </c>
    </row>
    <row r="9" spans="2:12" x14ac:dyDescent="0.3">
      <c r="B9" s="44" t="s">
        <v>5</v>
      </c>
      <c r="C9" s="31" t="s">
        <v>6</v>
      </c>
      <c r="D9" s="45">
        <v>350000</v>
      </c>
      <c r="F9" s="22" t="s">
        <v>53</v>
      </c>
      <c r="G9" s="26">
        <v>25600</v>
      </c>
      <c r="H9" s="26">
        <v>45000</v>
      </c>
      <c r="I9" s="26">
        <v>23916</v>
      </c>
      <c r="J9" s="24">
        <f>H9-I9</f>
        <v>21084</v>
      </c>
      <c r="K9" s="24">
        <f>G9-I9</f>
        <v>1684</v>
      </c>
      <c r="L9" s="25">
        <f>K9</f>
        <v>1684</v>
      </c>
    </row>
    <row r="10" spans="2:12" x14ac:dyDescent="0.3">
      <c r="B10" s="44" t="s">
        <v>7</v>
      </c>
      <c r="C10" s="31" t="s">
        <v>8</v>
      </c>
      <c r="D10" s="45">
        <v>0</v>
      </c>
      <c r="F10" s="22" t="s">
        <v>54</v>
      </c>
      <c r="G10" s="26">
        <v>120000</v>
      </c>
      <c r="H10" s="26">
        <v>142000</v>
      </c>
      <c r="I10" s="26">
        <v>0</v>
      </c>
      <c r="J10" s="24">
        <f t="shared" ref="J10" si="0">H10-I10</f>
        <v>142000</v>
      </c>
      <c r="K10" s="24">
        <f>G10-I10</f>
        <v>120000</v>
      </c>
      <c r="L10" s="25">
        <f>K10</f>
        <v>120000</v>
      </c>
    </row>
    <row r="11" spans="2:12" ht="25" x14ac:dyDescent="0.3">
      <c r="B11" s="44" t="s">
        <v>9</v>
      </c>
      <c r="C11" s="46" t="s">
        <v>10</v>
      </c>
      <c r="D11" s="45">
        <v>250000</v>
      </c>
      <c r="F11" s="22" t="s">
        <v>74</v>
      </c>
      <c r="G11" s="26">
        <v>8700000</v>
      </c>
      <c r="H11" s="26">
        <v>250500</v>
      </c>
      <c r="I11" s="26">
        <v>0</v>
      </c>
      <c r="J11" s="24">
        <f t="shared" ref="J11" si="1">H11-I11</f>
        <v>250500</v>
      </c>
      <c r="K11" s="24">
        <f>G11-I11</f>
        <v>8700000</v>
      </c>
      <c r="L11" s="25">
        <f>J11</f>
        <v>250500</v>
      </c>
    </row>
    <row r="12" spans="2:12" x14ac:dyDescent="0.3">
      <c r="B12" s="44"/>
      <c r="C12" s="31"/>
      <c r="D12" s="47"/>
      <c r="F12" s="27" t="s">
        <v>60</v>
      </c>
      <c r="G12" s="28"/>
      <c r="H12" s="28"/>
      <c r="I12" s="28"/>
      <c r="J12" s="28"/>
      <c r="K12" s="28"/>
      <c r="L12" s="29">
        <f>SUM(L9:L11)</f>
        <v>372184</v>
      </c>
    </row>
    <row r="13" spans="2:12" x14ac:dyDescent="0.3">
      <c r="B13" s="44" t="s">
        <v>66</v>
      </c>
      <c r="C13" s="31" t="s">
        <v>67</v>
      </c>
      <c r="D13" s="48">
        <f>-I48</f>
        <v>-169000</v>
      </c>
      <c r="F13" s="15"/>
      <c r="G13" s="15"/>
      <c r="H13" s="15"/>
      <c r="I13" s="15"/>
      <c r="J13" s="15"/>
    </row>
    <row r="14" spans="2:12" ht="13.5" x14ac:dyDescent="0.35">
      <c r="B14" s="49" t="s">
        <v>39</v>
      </c>
      <c r="C14" s="31" t="s">
        <v>70</v>
      </c>
      <c r="D14" s="48">
        <f>-I22</f>
        <v>-30000</v>
      </c>
      <c r="F14" s="15" t="s">
        <v>58</v>
      </c>
      <c r="G14" s="15" t="s">
        <v>59</v>
      </c>
      <c r="H14" s="15"/>
      <c r="I14" s="15"/>
      <c r="J14" s="15"/>
    </row>
    <row r="15" spans="2:12" x14ac:dyDescent="0.3">
      <c r="B15" s="44" t="s">
        <v>106</v>
      </c>
      <c r="C15" s="31"/>
      <c r="D15" s="50">
        <f>SUM(D8:D14)</f>
        <v>2701500</v>
      </c>
      <c r="F15" s="3" t="s">
        <v>69</v>
      </c>
    </row>
    <row r="16" spans="2:12" x14ac:dyDescent="0.3">
      <c r="B16" s="44" t="s">
        <v>121</v>
      </c>
      <c r="C16" s="31"/>
      <c r="D16" s="51">
        <v>0.2472</v>
      </c>
      <c r="F16" s="3" t="s">
        <v>62</v>
      </c>
    </row>
    <row r="17" spans="2:10" ht="13" thickBot="1" x14ac:dyDescent="0.35">
      <c r="B17" s="44" t="s">
        <v>122</v>
      </c>
      <c r="C17" s="31"/>
      <c r="D17" s="52">
        <f>D15*D16</f>
        <v>667810.80000000005</v>
      </c>
      <c r="F17" s="3" t="s">
        <v>63</v>
      </c>
    </row>
    <row r="18" spans="2:10" x14ac:dyDescent="0.3">
      <c r="B18" s="44"/>
      <c r="C18" s="31"/>
      <c r="D18" s="47"/>
    </row>
    <row r="19" spans="2:10" ht="13.5" x14ac:dyDescent="0.35">
      <c r="B19" s="53"/>
      <c r="C19" s="54"/>
      <c r="D19" s="55"/>
      <c r="F19" s="7" t="s">
        <v>0</v>
      </c>
      <c r="G19" s="7" t="s">
        <v>43</v>
      </c>
      <c r="H19" s="7" t="s">
        <v>64</v>
      </c>
      <c r="I19" s="7" t="s">
        <v>65</v>
      </c>
    </row>
    <row r="20" spans="2:10" ht="13.5" x14ac:dyDescent="0.35">
      <c r="B20" s="2"/>
      <c r="C20" s="2"/>
      <c r="D20" s="5"/>
      <c r="F20" s="18" t="s">
        <v>52</v>
      </c>
      <c r="G20" s="19">
        <v>62000</v>
      </c>
      <c r="H20" s="34">
        <v>0.25</v>
      </c>
      <c r="I20" s="21">
        <f>G20*H20</f>
        <v>15500</v>
      </c>
      <c r="J20" s="33" t="s">
        <v>75</v>
      </c>
    </row>
    <row r="21" spans="2:10" x14ac:dyDescent="0.3">
      <c r="D21" s="4"/>
      <c r="F21" s="18" t="s">
        <v>53</v>
      </c>
      <c r="G21" s="18">
        <v>25600</v>
      </c>
      <c r="H21" s="34">
        <v>0.25</v>
      </c>
      <c r="I21" s="21">
        <f t="shared" ref="I21:I23" si="2">G21*H21</f>
        <v>6400</v>
      </c>
      <c r="J21" s="33" t="s">
        <v>75</v>
      </c>
    </row>
    <row r="22" spans="2:10" x14ac:dyDescent="0.3">
      <c r="F22" s="18" t="s">
        <v>54</v>
      </c>
      <c r="G22" s="18">
        <v>120000</v>
      </c>
      <c r="H22" s="34">
        <v>0.25</v>
      </c>
      <c r="I22" s="21">
        <f t="shared" si="2"/>
        <v>30000</v>
      </c>
      <c r="J22" s="33" t="s">
        <v>75</v>
      </c>
    </row>
    <row r="23" spans="2:10" x14ac:dyDescent="0.3">
      <c r="F23" s="26" t="s">
        <v>60</v>
      </c>
      <c r="G23" s="24">
        <v>12300000</v>
      </c>
      <c r="H23" s="30">
        <v>0.05</v>
      </c>
      <c r="I23" s="21">
        <f t="shared" si="2"/>
        <v>615000</v>
      </c>
      <c r="J23" s="33" t="s">
        <v>76</v>
      </c>
    </row>
    <row r="24" spans="2:10" ht="13" thickBot="1" x14ac:dyDescent="0.35">
      <c r="F24" s="3" t="s">
        <v>60</v>
      </c>
      <c r="G24" s="13">
        <f>SUM(G21:G23)</f>
        <v>12445600</v>
      </c>
      <c r="H24" s="17"/>
      <c r="I24" s="13">
        <f>SUM(I21:I23)</f>
        <v>651400</v>
      </c>
    </row>
    <row r="29" spans="2:10" ht="13.5" x14ac:dyDescent="0.35">
      <c r="B29" s="2" t="s">
        <v>55</v>
      </c>
      <c r="F29" s="2" t="s">
        <v>96</v>
      </c>
    </row>
    <row r="30" spans="2:10" ht="13.5" x14ac:dyDescent="0.35">
      <c r="B30" s="7" t="s">
        <v>0</v>
      </c>
      <c r="C30" s="7" t="s">
        <v>1</v>
      </c>
      <c r="D30" s="8" t="s">
        <v>2</v>
      </c>
      <c r="F30" s="57" t="s">
        <v>0</v>
      </c>
      <c r="G30" s="58"/>
      <c r="H30" s="58" t="s">
        <v>97</v>
      </c>
      <c r="I30" s="58" t="s">
        <v>98</v>
      </c>
    </row>
    <row r="31" spans="2:10" ht="13.5" x14ac:dyDescent="0.35">
      <c r="B31" s="3" t="s">
        <v>61</v>
      </c>
      <c r="C31" s="3" t="s">
        <v>72</v>
      </c>
      <c r="D31" s="4">
        <f>L11</f>
        <v>250500</v>
      </c>
      <c r="F31" s="62" t="s">
        <v>99</v>
      </c>
      <c r="G31" s="63"/>
      <c r="H31" s="59">
        <f>C49</f>
        <v>3803850</v>
      </c>
      <c r="I31" s="64">
        <f>C50</f>
        <v>2535900</v>
      </c>
    </row>
    <row r="32" spans="2:10" x14ac:dyDescent="0.3">
      <c r="B32" s="3" t="s">
        <v>71</v>
      </c>
      <c r="C32" s="3" t="s">
        <v>73</v>
      </c>
      <c r="D32" s="4">
        <v>250500</v>
      </c>
      <c r="F32" s="22" t="s">
        <v>100</v>
      </c>
      <c r="G32" s="26"/>
      <c r="H32" s="23">
        <f>660500*0.6</f>
        <v>396300</v>
      </c>
      <c r="I32" s="65">
        <f>660500-H32</f>
        <v>264200</v>
      </c>
    </row>
    <row r="33" spans="2:10" x14ac:dyDescent="0.3">
      <c r="B33" s="3" t="s">
        <v>3</v>
      </c>
      <c r="C33" s="3" t="s">
        <v>77</v>
      </c>
      <c r="D33" s="4">
        <v>5325000</v>
      </c>
      <c r="F33" s="22" t="s">
        <v>109</v>
      </c>
      <c r="G33" s="26"/>
      <c r="H33" s="23">
        <f>I65</f>
        <v>2750300</v>
      </c>
      <c r="I33" s="65">
        <v>0</v>
      </c>
      <c r="J33" s="33" t="s">
        <v>117</v>
      </c>
    </row>
    <row r="34" spans="2:10" x14ac:dyDescent="0.3">
      <c r="B34" s="3" t="s">
        <v>78</v>
      </c>
      <c r="C34" s="3" t="s">
        <v>79</v>
      </c>
      <c r="D34" s="4">
        <v>0</v>
      </c>
      <c r="F34" s="22" t="s">
        <v>118</v>
      </c>
      <c r="G34" s="26"/>
      <c r="H34" s="23">
        <f>250*12*1000</f>
        <v>3000000</v>
      </c>
      <c r="I34" s="65">
        <v>0</v>
      </c>
      <c r="J34" s="33" t="s">
        <v>117</v>
      </c>
    </row>
    <row r="35" spans="2:10" x14ac:dyDescent="0.3">
      <c r="B35" s="3" t="s">
        <v>80</v>
      </c>
      <c r="C35" s="3" t="s">
        <v>81</v>
      </c>
      <c r="D35" s="4">
        <v>-250000</v>
      </c>
      <c r="F35" s="22" t="s">
        <v>116</v>
      </c>
      <c r="G35" s="26"/>
      <c r="H35" s="59">
        <f>SUM(H31:H34)</f>
        <v>9950450</v>
      </c>
      <c r="I35" s="64">
        <f>SUM(I31:I34)</f>
        <v>2800100</v>
      </c>
    </row>
    <row r="36" spans="2:10" x14ac:dyDescent="0.3">
      <c r="B36" s="3" t="s">
        <v>82</v>
      </c>
      <c r="C36" s="3" t="s">
        <v>83</v>
      </c>
      <c r="D36" s="4">
        <v>-370500</v>
      </c>
      <c r="F36" s="22" t="s">
        <v>124</v>
      </c>
      <c r="G36" s="26"/>
      <c r="H36" s="23">
        <f>H35*0.2472</f>
        <v>2459751.2400000002</v>
      </c>
      <c r="I36" s="65">
        <f>I35*0.2472</f>
        <v>692184.72</v>
      </c>
    </row>
    <row r="37" spans="2:10" x14ac:dyDescent="0.3">
      <c r="B37" s="3" t="s">
        <v>84</v>
      </c>
      <c r="C37" s="3" t="s">
        <v>81</v>
      </c>
      <c r="D37" s="4">
        <v>-450000</v>
      </c>
      <c r="F37" s="22"/>
      <c r="G37" s="26"/>
      <c r="H37" s="23"/>
      <c r="I37" s="65"/>
    </row>
    <row r="38" spans="2:10" x14ac:dyDescent="0.3">
      <c r="B38" s="3" t="s">
        <v>85</v>
      </c>
      <c r="C38" s="3" t="s">
        <v>6</v>
      </c>
      <c r="D38" s="4">
        <v>345000</v>
      </c>
      <c r="F38" s="22"/>
      <c r="G38" s="26"/>
      <c r="H38" s="23"/>
      <c r="I38" s="65"/>
    </row>
    <row r="39" spans="2:10" x14ac:dyDescent="0.3">
      <c r="B39" s="3" t="s">
        <v>86</v>
      </c>
      <c r="C39" s="3" t="s">
        <v>87</v>
      </c>
      <c r="D39" s="4">
        <v>225000</v>
      </c>
      <c r="F39" s="22" t="s">
        <v>101</v>
      </c>
      <c r="G39" s="26"/>
      <c r="H39" s="23">
        <f>H32/2</f>
        <v>198150</v>
      </c>
      <c r="I39" s="65">
        <f>I32/2</f>
        <v>132100</v>
      </c>
    </row>
    <row r="40" spans="2:10" x14ac:dyDescent="0.3">
      <c r="B40" s="3" t="s">
        <v>88</v>
      </c>
      <c r="C40" s="3" t="s">
        <v>89</v>
      </c>
      <c r="D40" s="4">
        <v>0</v>
      </c>
      <c r="F40" s="22" t="s">
        <v>119</v>
      </c>
      <c r="G40" s="26"/>
      <c r="H40" s="23">
        <v>450000</v>
      </c>
      <c r="I40" s="65">
        <v>0</v>
      </c>
    </row>
    <row r="41" spans="2:10" x14ac:dyDescent="0.3">
      <c r="B41" s="3" t="s">
        <v>90</v>
      </c>
      <c r="C41" s="3" t="s">
        <v>87</v>
      </c>
      <c r="D41" s="4">
        <v>220000</v>
      </c>
      <c r="F41" s="22" t="s">
        <v>125</v>
      </c>
      <c r="G41" s="26"/>
      <c r="H41" s="60">
        <f>H36-SUM(H39:H40)</f>
        <v>1811601.2400000002</v>
      </c>
      <c r="I41" s="66">
        <f>I36-SUM(I39:I40)</f>
        <v>560084.72</v>
      </c>
    </row>
    <row r="42" spans="2:10" x14ac:dyDescent="0.3">
      <c r="B42" s="3" t="s">
        <v>91</v>
      </c>
      <c r="C42" s="3" t="s">
        <v>87</v>
      </c>
      <c r="D42" s="4">
        <v>500000</v>
      </c>
      <c r="F42" s="27" t="s">
        <v>126</v>
      </c>
      <c r="G42" s="28"/>
      <c r="H42" s="67">
        <f>0.03*H41</f>
        <v>54348.037200000006</v>
      </c>
      <c r="I42" s="29">
        <f>0.03*I41</f>
        <v>16802.541599999997</v>
      </c>
    </row>
    <row r="43" spans="2:10" ht="25.5" thickBot="1" x14ac:dyDescent="0.35">
      <c r="B43" s="6" t="s">
        <v>93</v>
      </c>
      <c r="C43" s="3" t="s">
        <v>92</v>
      </c>
      <c r="D43" s="4">
        <v>0</v>
      </c>
      <c r="F43" s="3" t="s">
        <v>127</v>
      </c>
      <c r="H43" s="61">
        <f>H42+H41</f>
        <v>1865949.2772000001</v>
      </c>
      <c r="I43" s="61">
        <f>I42+I41</f>
        <v>576887.26159999997</v>
      </c>
    </row>
    <row r="44" spans="2:10" x14ac:dyDescent="0.3">
      <c r="B44" s="3" t="s">
        <v>94</v>
      </c>
      <c r="C44" s="3" t="s">
        <v>95</v>
      </c>
      <c r="D44" s="4">
        <v>0</v>
      </c>
    </row>
    <row r="45" spans="2:10" ht="13.5" x14ac:dyDescent="0.35">
      <c r="B45" s="3" t="s">
        <v>105</v>
      </c>
      <c r="C45" s="3" t="s">
        <v>102</v>
      </c>
      <c r="D45" s="39">
        <v>-6000</v>
      </c>
      <c r="F45" s="2" t="s">
        <v>18</v>
      </c>
    </row>
    <row r="46" spans="2:10" ht="14" thickBot="1" x14ac:dyDescent="0.4">
      <c r="B46" s="3" t="s">
        <v>103</v>
      </c>
      <c r="C46" s="3" t="s">
        <v>104</v>
      </c>
      <c r="D46" s="40">
        <v>300250</v>
      </c>
      <c r="F46" s="2" t="s">
        <v>17</v>
      </c>
    </row>
    <row r="47" spans="2:10" ht="13.5" x14ac:dyDescent="0.35">
      <c r="B47" s="3" t="s">
        <v>106</v>
      </c>
      <c r="D47" s="11">
        <f>SUM(D31:D46)</f>
        <v>6339750</v>
      </c>
      <c r="F47" s="7" t="s">
        <v>11</v>
      </c>
      <c r="G47" s="7" t="s">
        <v>13</v>
      </c>
      <c r="H47" s="7" t="s">
        <v>14</v>
      </c>
      <c r="I47" s="7" t="s">
        <v>15</v>
      </c>
    </row>
    <row r="48" spans="2:10" x14ac:dyDescent="0.3">
      <c r="B48" s="3" t="s">
        <v>107</v>
      </c>
      <c r="F48" s="3" t="s">
        <v>12</v>
      </c>
      <c r="G48" s="10">
        <v>1300000</v>
      </c>
      <c r="H48" s="9" t="s">
        <v>16</v>
      </c>
      <c r="I48" s="9">
        <f>20%*G48*65%</f>
        <v>169000</v>
      </c>
    </row>
    <row r="49" spans="2:10" x14ac:dyDescent="0.3">
      <c r="B49" s="3" t="s">
        <v>108</v>
      </c>
      <c r="C49" s="11">
        <f>D47*0.6</f>
        <v>3803850</v>
      </c>
    </row>
    <row r="50" spans="2:10" ht="13.5" x14ac:dyDescent="0.35">
      <c r="B50" s="3" t="s">
        <v>98</v>
      </c>
      <c r="C50" s="11">
        <f>D47-C49</f>
        <v>2535900</v>
      </c>
      <c r="D50" s="11">
        <f>SUM(C49:C50)</f>
        <v>6339750</v>
      </c>
      <c r="F50" s="2" t="s">
        <v>19</v>
      </c>
      <c r="G50" s="2" t="s">
        <v>20</v>
      </c>
      <c r="I50" s="2" t="s">
        <v>2</v>
      </c>
    </row>
    <row r="51" spans="2:10" x14ac:dyDescent="0.3">
      <c r="F51" s="3" t="s">
        <v>21</v>
      </c>
      <c r="I51" s="4">
        <v>250000</v>
      </c>
    </row>
    <row r="52" spans="2:10" x14ac:dyDescent="0.3">
      <c r="F52" s="3" t="s">
        <v>22</v>
      </c>
    </row>
    <row r="53" spans="2:10" x14ac:dyDescent="0.3">
      <c r="F53" s="3" t="s">
        <v>23</v>
      </c>
      <c r="I53" s="4">
        <v>-83400</v>
      </c>
    </row>
    <row r="54" spans="2:10" x14ac:dyDescent="0.3">
      <c r="F54" s="3" t="s">
        <v>24</v>
      </c>
      <c r="I54" s="12">
        <f>I51+I53</f>
        <v>166600</v>
      </c>
    </row>
    <row r="55" spans="2:10" x14ac:dyDescent="0.3">
      <c r="F55" s="3" t="s">
        <v>25</v>
      </c>
      <c r="I55" s="16">
        <v>0.2</v>
      </c>
    </row>
    <row r="56" spans="2:10" ht="14" thickBot="1" x14ac:dyDescent="0.4">
      <c r="F56" s="3" t="s">
        <v>26</v>
      </c>
      <c r="I56" s="13">
        <f>I54*I55</f>
        <v>33320</v>
      </c>
      <c r="J56" s="14" t="s">
        <v>27</v>
      </c>
    </row>
    <row r="57" spans="2:10" ht="13.5" x14ac:dyDescent="0.35">
      <c r="F57" s="14" t="s">
        <v>120</v>
      </c>
      <c r="I57" s="32"/>
    </row>
    <row r="58" spans="2:10" x14ac:dyDescent="0.3">
      <c r="I58" s="32"/>
    </row>
    <row r="59" spans="2:10" ht="13.5" x14ac:dyDescent="0.35">
      <c r="I59" s="32"/>
      <c r="J59" s="2" t="s">
        <v>123</v>
      </c>
    </row>
    <row r="60" spans="2:10" ht="13.5" x14ac:dyDescent="0.35">
      <c r="F60" s="2" t="s">
        <v>33</v>
      </c>
    </row>
    <row r="61" spans="2:10" ht="13.5" x14ac:dyDescent="0.35">
      <c r="F61" s="2" t="s">
        <v>28</v>
      </c>
    </row>
    <row r="62" spans="2:10" ht="13.5" x14ac:dyDescent="0.35">
      <c r="F62" s="2" t="s">
        <v>29</v>
      </c>
      <c r="I62" s="4">
        <v>2225300</v>
      </c>
    </row>
    <row r="63" spans="2:10" ht="13.5" x14ac:dyDescent="0.35">
      <c r="F63" s="3" t="s">
        <v>30</v>
      </c>
      <c r="I63" s="4">
        <v>350000</v>
      </c>
    </row>
    <row r="64" spans="2:10" x14ac:dyDescent="0.3">
      <c r="F64" s="3" t="s">
        <v>31</v>
      </c>
      <c r="I64" s="4">
        <v>175000</v>
      </c>
    </row>
    <row r="65" spans="6:10" ht="13" thickBot="1" x14ac:dyDescent="0.35">
      <c r="F65" s="3" t="s">
        <v>34</v>
      </c>
      <c r="I65" s="13">
        <f>SUM(I62:I64)</f>
        <v>2750300</v>
      </c>
    </row>
    <row r="67" spans="6:10" x14ac:dyDescent="0.3">
      <c r="F67" s="56" t="s">
        <v>32</v>
      </c>
      <c r="G67" s="56"/>
      <c r="H67" s="56"/>
      <c r="I67" s="56"/>
    </row>
    <row r="68" spans="6:10" x14ac:dyDescent="0.3">
      <c r="F68" s="56"/>
      <c r="G68" s="56"/>
      <c r="H68" s="56"/>
      <c r="I68" s="56"/>
    </row>
    <row r="69" spans="6:10" x14ac:dyDescent="0.3">
      <c r="J69" s="3" t="s">
        <v>35</v>
      </c>
    </row>
    <row r="70" spans="6:10" x14ac:dyDescent="0.3">
      <c r="F70" s="3" t="s">
        <v>36</v>
      </c>
    </row>
    <row r="71" spans="6:10" x14ac:dyDescent="0.3">
      <c r="F71" s="56" t="s">
        <v>37</v>
      </c>
      <c r="G71" s="56"/>
      <c r="H71" s="56"/>
      <c r="I71" s="56"/>
    </row>
    <row r="72" spans="6:10" x14ac:dyDescent="0.3">
      <c r="F72" s="56"/>
      <c r="G72" s="56"/>
      <c r="H72" s="56"/>
      <c r="I72" s="56"/>
    </row>
    <row r="75" spans="6:10" ht="13.5" x14ac:dyDescent="0.35">
      <c r="F75" s="2" t="s">
        <v>110</v>
      </c>
    </row>
    <row r="76" spans="6:10" x14ac:dyDescent="0.3">
      <c r="F76" s="3" t="s">
        <v>111</v>
      </c>
      <c r="I76" s="4">
        <f>350000*5</f>
        <v>1750000</v>
      </c>
    </row>
    <row r="77" spans="6:10" x14ac:dyDescent="0.3">
      <c r="F77" s="3" t="s">
        <v>112</v>
      </c>
      <c r="I77" s="11">
        <f>-I76*4.5%</f>
        <v>-78750</v>
      </c>
    </row>
    <row r="78" spans="6:10" x14ac:dyDescent="0.3">
      <c r="F78" s="3" t="s">
        <v>113</v>
      </c>
      <c r="I78" s="11">
        <f>SUM(I76:I77)</f>
        <v>1671250</v>
      </c>
    </row>
    <row r="79" spans="6:10" x14ac:dyDescent="0.3">
      <c r="F79" s="3" t="s">
        <v>114</v>
      </c>
      <c r="I79" s="11">
        <f>I78*20%</f>
        <v>334250</v>
      </c>
    </row>
    <row r="83" spans="10:10" x14ac:dyDescent="0.3">
      <c r="J83" s="15" t="s">
        <v>115</v>
      </c>
    </row>
  </sheetData>
  <mergeCells count="2">
    <mergeCell ref="F67:I68"/>
    <mergeCell ref="F71:I72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Company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Mlayezeli Mangena</dc:creator>
  <cp:lastModifiedBy>Mlayezeli Mangena</cp:lastModifiedBy>
  <dcterms:created xsi:type="dcterms:W3CDTF">2023-10-12T23:44:45Z</dcterms:created>
  <dcterms:modified xsi:type="dcterms:W3CDTF">2023-10-13T20:50:56Z</dcterms:modified>
</cp:coreProperties>
</file>