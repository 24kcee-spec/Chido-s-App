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417UX\OneDrive - EY\Desktop\"/>
    </mc:Choice>
  </mc:AlternateContent>
  <xr:revisionPtr revIDLastSave="0" documentId="13_ncr:1_{048F9D34-88A1-40D1-8DA8-080AFDC2B8DA}" xr6:coauthVersionLast="47" xr6:coauthVersionMax="47" xr10:uidLastSave="{00000000-0000-0000-0000-000000000000}"/>
  <bookViews>
    <workbookView xWindow="-110" yWindow="-110" windowWidth="19420" windowHeight="10560" xr2:uid="{526F5823-8361-4229-83CE-CB5359AEDCD9}"/>
  </bookViews>
  <sheets>
    <sheet name="Question 02 (IAS 37 &amp; 23)" sheetId="2" r:id="rId1"/>
    <sheet name="Question 04 (IAS 21)" sheetId="1" r:id="rId2"/>
    <sheet name="Question 01 (Various STDs)" sheetId="4" state="hidden" r:id="rId3"/>
    <sheet name="Question 03 (IAS 7)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B17" i="2"/>
  <c r="C42" i="1"/>
  <c r="D43" i="1" s="1"/>
  <c r="C39" i="1"/>
  <c r="D40" i="1" s="1"/>
  <c r="I25" i="1"/>
  <c r="D36" i="1" s="1"/>
  <c r="G23" i="1"/>
  <c r="I23" i="1" s="1"/>
  <c r="C22" i="1" s="1"/>
  <c r="D23" i="1" s="1"/>
  <c r="I22" i="1"/>
  <c r="I3" i="1"/>
  <c r="G4" i="1"/>
  <c r="I4" i="1" s="1"/>
  <c r="D10" i="1"/>
  <c r="C8" i="1"/>
  <c r="C4" i="1"/>
  <c r="D5" i="1" s="1"/>
  <c r="G24" i="1" l="1"/>
  <c r="I24" i="1" s="1"/>
  <c r="C30" i="1" s="1"/>
  <c r="D31" i="1" s="1"/>
  <c r="C34" i="1"/>
  <c r="C35" i="1" s="1"/>
  <c r="G5" i="1"/>
  <c r="G7" i="1" s="1"/>
  <c r="I7" i="1" s="1"/>
  <c r="C17" i="1" s="1"/>
  <c r="C9" i="1"/>
  <c r="I5" i="1" l="1"/>
  <c r="C13" i="1" s="1"/>
  <c r="D14" i="1" s="1"/>
  <c r="G9" i="1"/>
  <c r="I9" i="1" s="1"/>
  <c r="I10" i="1" s="1"/>
  <c r="D19" i="1"/>
  <c r="C18" i="1" s="1"/>
</calcChain>
</file>

<file path=xl/sharedStrings.xml><?xml version="1.0" encoding="utf-8"?>
<sst xmlns="http://schemas.openxmlformats.org/spreadsheetml/2006/main" count="86" uniqueCount="66">
  <si>
    <t>Journal entries for the period endind 31 December 2022 and 2023</t>
  </si>
  <si>
    <t xml:space="preserve">Date </t>
  </si>
  <si>
    <t>Details</t>
  </si>
  <si>
    <t xml:space="preserve">Dr ($) </t>
  </si>
  <si>
    <t>Cr ($)</t>
  </si>
  <si>
    <t>Inventory (SFP)</t>
  </si>
  <si>
    <t>Trade payables (SFP)</t>
  </si>
  <si>
    <t>(Being purchase of inventory)</t>
  </si>
  <si>
    <t>Trade payables</t>
  </si>
  <si>
    <t>Bank (SFP)</t>
  </si>
  <si>
    <t>(Being payment of first installment)</t>
  </si>
  <si>
    <t>Exchange loss (P/L)</t>
  </si>
  <si>
    <t>Workings</t>
  </si>
  <si>
    <t>Balance paid on 1st installment</t>
  </si>
  <si>
    <t>Balance</t>
  </si>
  <si>
    <t>ZAR</t>
  </si>
  <si>
    <t>USD</t>
  </si>
  <si>
    <t>RATE</t>
  </si>
  <si>
    <t>(Being year end revaluation of TP)</t>
  </si>
  <si>
    <t>(Being payment of last installment)</t>
  </si>
  <si>
    <t>Exchange loss  (P/L)</t>
  </si>
  <si>
    <t>Payment</t>
  </si>
  <si>
    <t>exchange loss</t>
  </si>
  <si>
    <t>Delivery van (SFP)</t>
  </si>
  <si>
    <t>(Purchase of Delivery van on credit)</t>
  </si>
  <si>
    <t>Workings - Delivery van</t>
  </si>
  <si>
    <t>Purchase price</t>
  </si>
  <si>
    <t>Bank</t>
  </si>
  <si>
    <t>(Capitalization of Logo printing expense)</t>
  </si>
  <si>
    <t>Cash equivalent price</t>
  </si>
  <si>
    <t>Finance costs (P/L)</t>
  </si>
  <si>
    <t>Finance costs</t>
  </si>
  <si>
    <t>(Settlement of payables)</t>
  </si>
  <si>
    <t>(Finance cost of credit purchase)</t>
  </si>
  <si>
    <t>Cost of sales (P/L)</t>
  </si>
  <si>
    <t>(Sale of inventory)</t>
  </si>
  <si>
    <t>(Sale of inventory in 2023)</t>
  </si>
  <si>
    <t>2A (i) What a restruring plan will constitute</t>
  </si>
  <si>
    <t>- A sale or termination of a line of business</t>
  </si>
  <si>
    <t>- Changes in management structure, for example, eliminating a layer of management</t>
  </si>
  <si>
    <t>- Fundamental reorganizations that have a material effect on the nature and focus of the entity's operations</t>
  </si>
  <si>
    <t>- Terminations and lay offs of company employees</t>
  </si>
  <si>
    <t>2A (ii) Disclosure of a restructuring provision as at 30 September 2023</t>
  </si>
  <si>
    <t>Geranium Ltd has embarked on a restructuring of its operations in order for it to be a going concern.</t>
  </si>
  <si>
    <t>The entity expects to to incure any expenditure for the restructuring in the following financial period.</t>
  </si>
  <si>
    <t>The entity has created a provision for restructuring and expects to incure $2 million for the exercise.</t>
  </si>
  <si>
    <t>The restructuring is expected to be completed in 2024.</t>
  </si>
  <si>
    <t>Restructuring</t>
  </si>
  <si>
    <t>$</t>
  </si>
  <si>
    <t>As at 1 october 2022</t>
  </si>
  <si>
    <t>Arising during the year</t>
  </si>
  <si>
    <t>As at 30 Sept 2023</t>
  </si>
  <si>
    <t>2A (iii) Effects on SFP if entity is not a going concern</t>
  </si>
  <si>
    <t>- The assets and liabilities will not be presented using historical cost basis rather,</t>
  </si>
  <si>
    <t>- The assets and liabilities of the entity will be presented at their liquidation value</t>
  </si>
  <si>
    <t>- This means that the SFP will present assets and liabilities of the entity at the amount that could be received by selling them off.</t>
  </si>
  <si>
    <t>Question 2B.</t>
  </si>
  <si>
    <t>Question 2A</t>
  </si>
  <si>
    <t>2B (i) Interest as per IAS 23.</t>
  </si>
  <si>
    <t>Sources of finance are as follows:</t>
  </si>
  <si>
    <t>8% Preference shares</t>
  </si>
  <si>
    <t>10% CBZ Loan</t>
  </si>
  <si>
    <t xml:space="preserve">12% CABS Loan </t>
  </si>
  <si>
    <t>12% Private loan</t>
  </si>
  <si>
    <t>Rights issue</t>
  </si>
  <si>
    <t>Total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</si>
</sst>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9"/>
      <color theme="1"/>
      <name val="EYInterstate Light"/>
      <family val="2"/>
    </font>
    <font>
      <sz val="9"/>
      <color theme="1"/>
      <name val="EYInterstate Light"/>
      <family val="2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u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43" fontId="2" fillId="2" borderId="0" xfId="1" applyFont="1" applyFill="1"/>
    <xf numFmtId="0" fontId="2" fillId="2" borderId="0" xfId="0" applyFont="1" applyFill="1" applyAlignment="1">
      <alignment horizontal="center"/>
    </xf>
    <xf numFmtId="0" fontId="4" fillId="2" borderId="1" xfId="0" applyFont="1" applyFill="1" applyBorder="1"/>
    <xf numFmtId="43" fontId="2" fillId="2" borderId="0" xfId="0" applyNumberFormat="1" applyFont="1" applyFill="1"/>
    <xf numFmtId="15" fontId="2" fillId="0" borderId="7" xfId="0" applyNumberFormat="1" applyFont="1" applyFill="1" applyBorder="1"/>
    <xf numFmtId="0" fontId="2" fillId="0" borderId="2" xfId="0" applyFont="1" applyFill="1" applyBorder="1"/>
    <xf numFmtId="43" fontId="2" fillId="0" borderId="7" xfId="1" applyFont="1" applyFill="1" applyBorder="1"/>
    <xf numFmtId="43" fontId="2" fillId="0" borderId="3" xfId="1" applyFont="1" applyFill="1" applyBorder="1"/>
    <xf numFmtId="15" fontId="2" fillId="0" borderId="8" xfId="0" applyNumberFormat="1" applyFont="1" applyFill="1" applyBorder="1"/>
    <xf numFmtId="0" fontId="2" fillId="0" borderId="0" xfId="0" applyFont="1" applyFill="1" applyBorder="1"/>
    <xf numFmtId="43" fontId="2" fillId="0" borderId="8" xfId="1" applyFont="1" applyFill="1" applyBorder="1"/>
    <xf numFmtId="43" fontId="2" fillId="0" borderId="4" xfId="1" applyFont="1" applyFill="1" applyBorder="1"/>
    <xf numFmtId="0" fontId="4" fillId="2" borderId="10" xfId="0" applyFont="1" applyFill="1" applyBorder="1"/>
    <xf numFmtId="43" fontId="4" fillId="2" borderId="10" xfId="1" applyFont="1" applyFill="1" applyBorder="1"/>
    <xf numFmtId="0" fontId="2" fillId="2" borderId="10" xfId="0" applyFont="1" applyFill="1" applyBorder="1"/>
    <xf numFmtId="43" fontId="2" fillId="2" borderId="10" xfId="0" applyNumberFormat="1" applyFont="1" applyFill="1" applyBorder="1"/>
    <xf numFmtId="0" fontId="2" fillId="0" borderId="9" xfId="0" applyFont="1" applyFill="1" applyBorder="1"/>
    <xf numFmtId="0" fontId="5" fillId="0" borderId="5" xfId="0" applyFont="1" applyFill="1" applyBorder="1"/>
    <xf numFmtId="43" fontId="2" fillId="0" borderId="9" xfId="1" applyFont="1" applyFill="1" applyBorder="1"/>
    <xf numFmtId="43" fontId="2" fillId="0" borderId="6" xfId="1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2" fillId="2" borderId="11" xfId="0" applyFont="1" applyFill="1" applyBorder="1"/>
    <xf numFmtId="43" fontId="2" fillId="2" borderId="11" xfId="1" applyFont="1" applyFill="1" applyBorder="1"/>
    <xf numFmtId="43" fontId="2" fillId="2" borderId="11" xfId="0" applyNumberFormat="1" applyFont="1" applyFill="1" applyBorder="1"/>
    <xf numFmtId="0" fontId="2" fillId="2" borderId="0" xfId="0" quotePrefix="1" applyFont="1" applyFill="1"/>
    <xf numFmtId="0" fontId="4" fillId="3" borderId="0" xfId="0" applyFont="1" applyFill="1"/>
    <xf numFmtId="0" fontId="2" fillId="2" borderId="5" xfId="0" applyFont="1" applyFill="1" applyBorder="1"/>
    <xf numFmtId="43" fontId="4" fillId="2" borderId="0" xfId="1" applyFont="1" applyFill="1"/>
    <xf numFmtId="43" fontId="4" fillId="2" borderId="11" xfId="1" applyFont="1" applyFill="1" applyBorder="1"/>
    <xf numFmtId="0" fontId="4" fillId="2" borderId="11" xfId="0" applyFont="1" applyFill="1" applyBorder="1"/>
    <xf numFmtId="0" fontId="6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95B9-7B4B-4FCE-BC7C-7E4A80738F80}">
  <sheetPr>
    <tabColor theme="5" tint="0.59999389629810485"/>
  </sheetPr>
  <dimension ref="A1:B42"/>
  <sheetViews>
    <sheetView tabSelected="1" workbookViewId="0">
      <selection activeCell="D3" sqref="D3"/>
    </sheetView>
  </sheetViews>
  <sheetFormatPr defaultRowHeight="15.5" x14ac:dyDescent="0.35"/>
  <cols>
    <col min="1" max="1" width="27.7265625" style="2" bestFit="1" customWidth="1"/>
    <col min="2" max="2" width="13.81640625" style="2" bestFit="1" customWidth="1"/>
    <col min="3" max="16384" width="8.7265625" style="2"/>
  </cols>
  <sheetData>
    <row r="1" spans="1:2" x14ac:dyDescent="0.35">
      <c r="A1" s="31" t="s">
        <v>57</v>
      </c>
    </row>
    <row r="3" spans="1:2" x14ac:dyDescent="0.35">
      <c r="A3" s="3" t="s">
        <v>37</v>
      </c>
      <c r="B3" s="4"/>
    </row>
    <row r="5" spans="1:2" x14ac:dyDescent="0.35">
      <c r="A5" s="30" t="s">
        <v>38</v>
      </c>
    </row>
    <row r="6" spans="1:2" x14ac:dyDescent="0.35">
      <c r="A6" s="30" t="s">
        <v>39</v>
      </c>
    </row>
    <row r="7" spans="1:2" x14ac:dyDescent="0.35">
      <c r="A7" s="30" t="s">
        <v>40</v>
      </c>
    </row>
    <row r="8" spans="1:2" x14ac:dyDescent="0.35">
      <c r="A8" s="30" t="s">
        <v>41</v>
      </c>
    </row>
    <row r="10" spans="1:2" x14ac:dyDescent="0.35">
      <c r="A10" s="3" t="s">
        <v>42</v>
      </c>
    </row>
    <row r="12" spans="1:2" ht="16" thickBot="1" x14ac:dyDescent="0.4">
      <c r="A12" s="32" t="s">
        <v>2</v>
      </c>
      <c r="B12" s="32" t="s">
        <v>47</v>
      </c>
    </row>
    <row r="13" spans="1:2" x14ac:dyDescent="0.35">
      <c r="B13" s="6" t="s">
        <v>48</v>
      </c>
    </row>
    <row r="14" spans="1:2" x14ac:dyDescent="0.35">
      <c r="A14" s="4" t="s">
        <v>49</v>
      </c>
      <c r="B14" s="33">
        <v>0</v>
      </c>
    </row>
    <row r="15" spans="1:2" x14ac:dyDescent="0.35">
      <c r="A15" s="2" t="s">
        <v>50</v>
      </c>
      <c r="B15" s="5">
        <v>2000000</v>
      </c>
    </row>
    <row r="16" spans="1:2" x14ac:dyDescent="0.35">
      <c r="B16" s="5"/>
    </row>
    <row r="17" spans="1:2" ht="16" thickBot="1" x14ac:dyDescent="0.4">
      <c r="A17" s="4" t="s">
        <v>51</v>
      </c>
      <c r="B17" s="34">
        <f>SUM(B14:B16)</f>
        <v>2000000</v>
      </c>
    </row>
    <row r="18" spans="1:2" ht="16" thickTop="1" x14ac:dyDescent="0.35">
      <c r="B18" s="5"/>
    </row>
    <row r="20" spans="1:2" x14ac:dyDescent="0.35">
      <c r="A20" s="2" t="s">
        <v>43</v>
      </c>
    </row>
    <row r="21" spans="1:2" x14ac:dyDescent="0.35">
      <c r="A21" s="2" t="s">
        <v>44</v>
      </c>
    </row>
    <row r="22" spans="1:2" x14ac:dyDescent="0.35">
      <c r="A22" s="2" t="s">
        <v>45</v>
      </c>
    </row>
    <row r="23" spans="1:2" x14ac:dyDescent="0.35">
      <c r="A23" s="2" t="s">
        <v>46</v>
      </c>
    </row>
    <row r="25" spans="1:2" x14ac:dyDescent="0.35">
      <c r="A25" s="3" t="s">
        <v>52</v>
      </c>
    </row>
    <row r="27" spans="1:2" x14ac:dyDescent="0.35">
      <c r="A27" s="30" t="s">
        <v>53</v>
      </c>
    </row>
    <row r="28" spans="1:2" x14ac:dyDescent="0.35">
      <c r="A28" s="30" t="s">
        <v>54</v>
      </c>
    </row>
    <row r="29" spans="1:2" x14ac:dyDescent="0.35">
      <c r="A29" s="30" t="s">
        <v>55</v>
      </c>
    </row>
    <row r="31" spans="1:2" x14ac:dyDescent="0.35">
      <c r="A31" s="4" t="s">
        <v>56</v>
      </c>
    </row>
    <row r="33" spans="1:2" x14ac:dyDescent="0.35">
      <c r="A33" s="4" t="s">
        <v>58</v>
      </c>
    </row>
    <row r="35" spans="1:2" x14ac:dyDescent="0.35">
      <c r="A35" s="36" t="s">
        <v>59</v>
      </c>
    </row>
    <row r="36" spans="1:2" x14ac:dyDescent="0.35">
      <c r="A36" s="2" t="s">
        <v>60</v>
      </c>
      <c r="B36" s="5">
        <v>300000</v>
      </c>
    </row>
    <row r="37" spans="1:2" x14ac:dyDescent="0.35">
      <c r="A37" s="2" t="s">
        <v>61</v>
      </c>
      <c r="B37" s="5">
        <v>200000</v>
      </c>
    </row>
    <row r="38" spans="1:2" x14ac:dyDescent="0.35">
      <c r="A38" s="2" t="s">
        <v>62</v>
      </c>
      <c r="B38" s="5">
        <v>300000</v>
      </c>
    </row>
    <row r="39" spans="1:2" x14ac:dyDescent="0.35">
      <c r="A39" s="2" t="s">
        <v>63</v>
      </c>
      <c r="B39" s="5">
        <v>100000</v>
      </c>
    </row>
    <row r="40" spans="1:2" x14ac:dyDescent="0.35">
      <c r="A40" s="2" t="s">
        <v>64</v>
      </c>
      <c r="B40" s="5">
        <v>100000</v>
      </c>
    </row>
    <row r="41" spans="1:2" ht="16" thickBot="1" x14ac:dyDescent="0.4">
      <c r="A41" s="35" t="s">
        <v>65</v>
      </c>
      <c r="B41" s="34">
        <f>SUM(B36:B40)</f>
        <v>1000000</v>
      </c>
    </row>
    <row r="42" spans="1:2" ht="16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7577-DFB3-41AD-A770-ED85C6CEB41E}">
  <sheetPr>
    <tabColor theme="9"/>
  </sheetPr>
  <dimension ref="A1:I46"/>
  <sheetViews>
    <sheetView zoomScale="85" zoomScaleNormal="85" workbookViewId="0">
      <selection activeCell="C12" sqref="C12"/>
    </sheetView>
  </sheetViews>
  <sheetFormatPr defaultRowHeight="15.5" x14ac:dyDescent="0.35"/>
  <cols>
    <col min="1" max="1" width="19.81640625" style="2" customWidth="1"/>
    <col min="2" max="2" width="38.36328125" style="2" customWidth="1"/>
    <col min="3" max="4" width="13.81640625" style="2" bestFit="1" customWidth="1"/>
    <col min="5" max="5" width="8.7265625" style="2"/>
    <col min="6" max="6" width="24.54296875" style="2" bestFit="1" customWidth="1"/>
    <col min="7" max="7" width="13.81640625" style="5" bestFit="1" customWidth="1"/>
    <col min="8" max="8" width="8.81640625" style="2" bestFit="1" customWidth="1"/>
    <col min="9" max="9" width="13.81640625" style="2" bestFit="1" customWidth="1"/>
    <col min="10" max="16384" width="8.7265625" style="2"/>
  </cols>
  <sheetData>
    <row r="1" spans="1:9" x14ac:dyDescent="0.35">
      <c r="A1" s="4" t="s">
        <v>0</v>
      </c>
      <c r="F1" s="4" t="s">
        <v>12</v>
      </c>
    </row>
    <row r="2" spans="1:9" x14ac:dyDescent="0.35">
      <c r="G2" s="5" t="s">
        <v>15</v>
      </c>
      <c r="H2" s="2" t="s">
        <v>17</v>
      </c>
      <c r="I2" s="6" t="s">
        <v>16</v>
      </c>
    </row>
    <row r="3" spans="1:9" ht="16" thickBot="1" x14ac:dyDescent="0.4">
      <c r="A3" s="7" t="s">
        <v>1</v>
      </c>
      <c r="B3" s="7" t="s">
        <v>2</v>
      </c>
      <c r="C3" s="7" t="s">
        <v>3</v>
      </c>
      <c r="D3" s="7" t="s">
        <v>4</v>
      </c>
      <c r="F3" s="2" t="s">
        <v>8</v>
      </c>
      <c r="G3" s="5">
        <v>1200000</v>
      </c>
      <c r="H3" s="2">
        <v>2.74</v>
      </c>
      <c r="I3" s="8">
        <f>G3*H3</f>
        <v>3288000.0000000005</v>
      </c>
    </row>
    <row r="4" spans="1:9" x14ac:dyDescent="0.35">
      <c r="A4" s="9"/>
      <c r="B4" s="10" t="s">
        <v>5</v>
      </c>
      <c r="C4" s="11">
        <f>1200000*2.74</f>
        <v>3288000.0000000005</v>
      </c>
      <c r="D4" s="12"/>
      <c r="F4" s="2" t="s">
        <v>13</v>
      </c>
      <c r="G4" s="5">
        <f>-720000</f>
        <v>-720000</v>
      </c>
      <c r="H4" s="2">
        <v>2.74</v>
      </c>
      <c r="I4" s="8">
        <f>G4*H4</f>
        <v>-1972800.0000000002</v>
      </c>
    </row>
    <row r="5" spans="1:9" x14ac:dyDescent="0.35">
      <c r="A5" s="13">
        <v>44651</v>
      </c>
      <c r="B5" s="14" t="s">
        <v>6</v>
      </c>
      <c r="C5" s="15"/>
      <c r="D5" s="16">
        <f>C4</f>
        <v>3288000.0000000005</v>
      </c>
      <c r="F5" s="17" t="s">
        <v>14</v>
      </c>
      <c r="G5" s="18">
        <f>SUM(G3:G4)</f>
        <v>480000</v>
      </c>
      <c r="H5" s="19">
        <v>2.74</v>
      </c>
      <c r="I5" s="20">
        <f>G5*H5</f>
        <v>1315200</v>
      </c>
    </row>
    <row r="6" spans="1:9" ht="16" thickBot="1" x14ac:dyDescent="0.4">
      <c r="A6" s="21"/>
      <c r="B6" s="22" t="s">
        <v>7</v>
      </c>
      <c r="C6" s="23"/>
      <c r="D6" s="24"/>
    </row>
    <row r="7" spans="1:9" x14ac:dyDescent="0.35">
      <c r="A7" s="25"/>
      <c r="B7" s="10"/>
      <c r="C7" s="11"/>
      <c r="D7" s="12"/>
      <c r="F7" s="2" t="s">
        <v>14</v>
      </c>
      <c r="G7" s="18">
        <f>SUM(G5:G6)</f>
        <v>480000</v>
      </c>
      <c r="H7" s="2">
        <v>2.77</v>
      </c>
      <c r="I7" s="8">
        <f>G7*H7</f>
        <v>1329600</v>
      </c>
    </row>
    <row r="8" spans="1:9" x14ac:dyDescent="0.35">
      <c r="A8" s="13">
        <v>44896</v>
      </c>
      <c r="B8" s="14" t="s">
        <v>6</v>
      </c>
      <c r="C8" s="15">
        <f>720000*2.74</f>
        <v>1972800.0000000002</v>
      </c>
      <c r="D8" s="16"/>
    </row>
    <row r="9" spans="1:9" x14ac:dyDescent="0.35">
      <c r="A9" s="13"/>
      <c r="B9" s="14" t="s">
        <v>11</v>
      </c>
      <c r="C9" s="15">
        <f>D10-C8</f>
        <v>28799.999999999534</v>
      </c>
      <c r="D9" s="16"/>
      <c r="F9" s="2" t="s">
        <v>21</v>
      </c>
      <c r="G9" s="5">
        <f>G7*-1</f>
        <v>-480000</v>
      </c>
      <c r="H9" s="2">
        <v>2.81</v>
      </c>
      <c r="I9" s="8">
        <f>G9*H9</f>
        <v>-1348800</v>
      </c>
    </row>
    <row r="10" spans="1:9" ht="16" thickBot="1" x14ac:dyDescent="0.4">
      <c r="A10" s="26"/>
      <c r="B10" s="14" t="s">
        <v>9</v>
      </c>
      <c r="C10" s="15"/>
      <c r="D10" s="16">
        <f>720000*2.78</f>
        <v>2001599.9999999998</v>
      </c>
      <c r="F10" s="27" t="s">
        <v>22</v>
      </c>
      <c r="G10" s="28"/>
      <c r="H10" s="27"/>
      <c r="I10" s="29">
        <f>I7+I9</f>
        <v>-19200</v>
      </c>
    </row>
    <row r="11" spans="1:9" ht="16.5" thickTop="1" thickBot="1" x14ac:dyDescent="0.4">
      <c r="A11" s="21"/>
      <c r="B11" s="22" t="s">
        <v>10</v>
      </c>
      <c r="C11" s="23"/>
      <c r="D11" s="24"/>
    </row>
    <row r="12" spans="1:9" x14ac:dyDescent="0.35">
      <c r="A12" s="25"/>
      <c r="B12" s="10"/>
      <c r="C12" s="11"/>
      <c r="D12" s="12"/>
    </row>
    <row r="13" spans="1:9" x14ac:dyDescent="0.35">
      <c r="A13" s="26"/>
      <c r="B13" s="14" t="s">
        <v>11</v>
      </c>
      <c r="C13" s="15">
        <f>I7-I5</f>
        <v>14400</v>
      </c>
      <c r="D13" s="16"/>
    </row>
    <row r="14" spans="1:9" x14ac:dyDescent="0.35">
      <c r="A14" s="13">
        <v>44926</v>
      </c>
      <c r="B14" s="14" t="s">
        <v>6</v>
      </c>
      <c r="C14" s="15"/>
      <c r="D14" s="16">
        <f>C13</f>
        <v>14400</v>
      </c>
      <c r="F14" s="8"/>
    </row>
    <row r="15" spans="1:9" ht="16" thickBot="1" x14ac:dyDescent="0.4">
      <c r="A15" s="21"/>
      <c r="B15" s="22" t="s">
        <v>18</v>
      </c>
      <c r="C15" s="23"/>
      <c r="D15" s="24"/>
    </row>
    <row r="16" spans="1:9" x14ac:dyDescent="0.35">
      <c r="A16" s="25"/>
      <c r="B16" s="10"/>
      <c r="C16" s="11"/>
      <c r="D16" s="12"/>
    </row>
    <row r="17" spans="1:9" x14ac:dyDescent="0.35">
      <c r="A17" s="13">
        <v>44941</v>
      </c>
      <c r="B17" s="14" t="s">
        <v>6</v>
      </c>
      <c r="C17" s="15">
        <f>I7</f>
        <v>1329600</v>
      </c>
      <c r="D17" s="16"/>
    </row>
    <row r="18" spans="1:9" x14ac:dyDescent="0.35">
      <c r="A18" s="13"/>
      <c r="B18" s="14" t="s">
        <v>20</v>
      </c>
      <c r="C18" s="15">
        <f>D19-C17</f>
        <v>19200</v>
      </c>
      <c r="D18" s="16"/>
    </row>
    <row r="19" spans="1:9" x14ac:dyDescent="0.35">
      <c r="A19" s="26"/>
      <c r="B19" s="14" t="s">
        <v>9</v>
      </c>
      <c r="C19" s="15"/>
      <c r="D19" s="16">
        <f>G7*2.81</f>
        <v>1348800</v>
      </c>
    </row>
    <row r="20" spans="1:9" ht="16" thickBot="1" x14ac:dyDescent="0.4">
      <c r="A20" s="21"/>
      <c r="B20" s="22" t="s">
        <v>19</v>
      </c>
      <c r="C20" s="23"/>
      <c r="D20" s="24"/>
    </row>
    <row r="21" spans="1:9" x14ac:dyDescent="0.35">
      <c r="A21" s="25"/>
      <c r="B21" s="10"/>
      <c r="C21" s="11"/>
      <c r="D21" s="12"/>
      <c r="F21" s="4" t="s">
        <v>25</v>
      </c>
      <c r="G21" s="5" t="s">
        <v>15</v>
      </c>
      <c r="H21" s="2" t="s">
        <v>17</v>
      </c>
      <c r="I21" s="2" t="s">
        <v>16</v>
      </c>
    </row>
    <row r="22" spans="1:9" x14ac:dyDescent="0.35">
      <c r="A22" s="13">
        <v>44621</v>
      </c>
      <c r="B22" s="14" t="s">
        <v>23</v>
      </c>
      <c r="C22" s="15">
        <f>I23</f>
        <v>1216216.2162162161</v>
      </c>
      <c r="D22" s="16"/>
      <c r="F22" s="2" t="s">
        <v>26</v>
      </c>
      <c r="G22" s="5">
        <v>500000</v>
      </c>
      <c r="H22" s="2">
        <v>2.7</v>
      </c>
      <c r="I22" s="8">
        <f>G22*H22</f>
        <v>1350000</v>
      </c>
    </row>
    <row r="23" spans="1:9" x14ac:dyDescent="0.35">
      <c r="A23" s="26"/>
      <c r="B23" s="14" t="s">
        <v>6</v>
      </c>
      <c r="C23" s="15"/>
      <c r="D23" s="16">
        <f>C22</f>
        <v>1216216.2162162161</v>
      </c>
      <c r="F23" s="2" t="s">
        <v>29</v>
      </c>
      <c r="G23" s="5">
        <f>G22/(1.11)</f>
        <v>450450.45045045041</v>
      </c>
      <c r="H23" s="2">
        <v>2.7</v>
      </c>
      <c r="I23" s="8">
        <f>G23*H23</f>
        <v>1216216.2162162161</v>
      </c>
    </row>
    <row r="24" spans="1:9" ht="16" thickBot="1" x14ac:dyDescent="0.4">
      <c r="A24" s="21"/>
      <c r="B24" s="22" t="s">
        <v>24</v>
      </c>
      <c r="C24" s="23"/>
      <c r="D24" s="24"/>
      <c r="F24" s="2" t="s">
        <v>31</v>
      </c>
      <c r="G24" s="8">
        <f>G22-G23</f>
        <v>49549.549549549585</v>
      </c>
      <c r="H24" s="2">
        <v>2.77</v>
      </c>
      <c r="I24" s="8">
        <f>G24*H24</f>
        <v>137252.25225225236</v>
      </c>
    </row>
    <row r="25" spans="1:9" x14ac:dyDescent="0.35">
      <c r="A25" s="25"/>
      <c r="B25" s="10"/>
      <c r="C25" s="11"/>
      <c r="D25" s="12"/>
      <c r="F25" s="2" t="s">
        <v>21</v>
      </c>
      <c r="G25" s="5">
        <v>500000</v>
      </c>
      <c r="H25" s="2">
        <v>2.77</v>
      </c>
      <c r="I25" s="8">
        <f>G25*H25</f>
        <v>1385000</v>
      </c>
    </row>
    <row r="26" spans="1:9" x14ac:dyDescent="0.35">
      <c r="A26" s="13">
        <v>44621</v>
      </c>
      <c r="B26" s="14" t="s">
        <v>23</v>
      </c>
      <c r="C26" s="15">
        <v>20000</v>
      </c>
      <c r="D26" s="16"/>
    </row>
    <row r="27" spans="1:9" x14ac:dyDescent="0.35">
      <c r="A27" s="26"/>
      <c r="B27" s="14" t="s">
        <v>27</v>
      </c>
      <c r="C27" s="15"/>
      <c r="D27" s="16">
        <v>20000</v>
      </c>
    </row>
    <row r="28" spans="1:9" ht="16" thickBot="1" x14ac:dyDescent="0.4">
      <c r="A28" s="21"/>
      <c r="B28" s="22" t="s">
        <v>28</v>
      </c>
      <c r="C28" s="23"/>
      <c r="D28" s="24"/>
    </row>
    <row r="29" spans="1:9" x14ac:dyDescent="0.35">
      <c r="A29" s="25"/>
      <c r="B29" s="10"/>
      <c r="C29" s="11"/>
      <c r="D29" s="12"/>
    </row>
    <row r="30" spans="1:9" x14ac:dyDescent="0.35">
      <c r="A30" s="13">
        <v>44986</v>
      </c>
      <c r="B30" s="14" t="s">
        <v>30</v>
      </c>
      <c r="C30" s="15">
        <f>I24</f>
        <v>137252.25225225236</v>
      </c>
      <c r="D30" s="16"/>
    </row>
    <row r="31" spans="1:9" x14ac:dyDescent="0.35">
      <c r="A31" s="26"/>
      <c r="B31" s="14" t="s">
        <v>6</v>
      </c>
      <c r="C31" s="15"/>
      <c r="D31" s="16">
        <f>C30</f>
        <v>137252.25225225236</v>
      </c>
    </row>
    <row r="32" spans="1:9" ht="16" thickBot="1" x14ac:dyDescent="0.4">
      <c r="A32" s="21"/>
      <c r="B32" s="22" t="s">
        <v>33</v>
      </c>
      <c r="C32" s="23"/>
      <c r="D32" s="24"/>
    </row>
    <row r="33" spans="1:4" x14ac:dyDescent="0.35">
      <c r="A33" s="25"/>
      <c r="B33" s="10"/>
      <c r="C33" s="11"/>
      <c r="D33" s="12"/>
    </row>
    <row r="34" spans="1:4" x14ac:dyDescent="0.35">
      <c r="A34" s="13">
        <v>44986</v>
      </c>
      <c r="B34" s="14" t="s">
        <v>6</v>
      </c>
      <c r="C34" s="15">
        <f>C30+C22</f>
        <v>1353468.4684684684</v>
      </c>
      <c r="D34" s="16"/>
    </row>
    <row r="35" spans="1:4" x14ac:dyDescent="0.35">
      <c r="A35" s="13"/>
      <c r="B35" s="14" t="s">
        <v>11</v>
      </c>
      <c r="C35" s="15">
        <f>D36-C34</f>
        <v>31531.531531531597</v>
      </c>
      <c r="D35" s="16"/>
    </row>
    <row r="36" spans="1:4" x14ac:dyDescent="0.35">
      <c r="A36" s="26"/>
      <c r="B36" s="14" t="s">
        <v>9</v>
      </c>
      <c r="C36" s="15"/>
      <c r="D36" s="16">
        <f>I25</f>
        <v>1385000</v>
      </c>
    </row>
    <row r="37" spans="1:4" ht="16" thickBot="1" x14ac:dyDescent="0.4">
      <c r="A37" s="21"/>
      <c r="B37" s="22" t="s">
        <v>32</v>
      </c>
      <c r="C37" s="23"/>
      <c r="D37" s="24"/>
    </row>
    <row r="38" spans="1:4" x14ac:dyDescent="0.35">
      <c r="A38" s="25"/>
      <c r="B38" s="10"/>
      <c r="C38" s="11"/>
      <c r="D38" s="12"/>
    </row>
    <row r="39" spans="1:4" x14ac:dyDescent="0.35">
      <c r="A39" s="13">
        <v>44926</v>
      </c>
      <c r="B39" s="14" t="s">
        <v>34</v>
      </c>
      <c r="C39" s="15">
        <f>30%*C4</f>
        <v>986400.00000000012</v>
      </c>
      <c r="D39" s="16"/>
    </row>
    <row r="40" spans="1:4" x14ac:dyDescent="0.35">
      <c r="A40" s="26"/>
      <c r="B40" s="14" t="s">
        <v>5</v>
      </c>
      <c r="C40" s="15"/>
      <c r="D40" s="16">
        <f>C39</f>
        <v>986400.00000000012</v>
      </c>
    </row>
    <row r="41" spans="1:4" ht="16" thickBot="1" x14ac:dyDescent="0.4">
      <c r="A41" s="21"/>
      <c r="B41" s="22" t="s">
        <v>35</v>
      </c>
      <c r="C41" s="23"/>
      <c r="D41" s="24"/>
    </row>
    <row r="42" spans="1:4" x14ac:dyDescent="0.35">
      <c r="A42" s="25"/>
      <c r="B42" s="10" t="s">
        <v>34</v>
      </c>
      <c r="C42" s="11">
        <f>70%*C4</f>
        <v>2301600</v>
      </c>
      <c r="D42" s="12"/>
    </row>
    <row r="43" spans="1:4" x14ac:dyDescent="0.35">
      <c r="A43" s="13">
        <v>45291</v>
      </c>
      <c r="B43" s="14" t="s">
        <v>5</v>
      </c>
      <c r="C43" s="15"/>
      <c r="D43" s="16">
        <f>C42</f>
        <v>2301600</v>
      </c>
    </row>
    <row r="44" spans="1:4" ht="16" thickBot="1" x14ac:dyDescent="0.4">
      <c r="A44" s="21"/>
      <c r="B44" s="22" t="s">
        <v>36</v>
      </c>
      <c r="C44" s="23"/>
      <c r="D44" s="24"/>
    </row>
    <row r="45" spans="1:4" x14ac:dyDescent="0.35">
      <c r="C45" s="5"/>
      <c r="D45" s="5"/>
    </row>
    <row r="46" spans="1:4" x14ac:dyDescent="0.35">
      <c r="C46" s="5"/>
      <c r="D46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A392-0CE6-496F-9D25-D354096FB69D}">
  <dimension ref="A1"/>
  <sheetViews>
    <sheetView workbookViewId="0"/>
  </sheetViews>
  <sheetFormatPr defaultRowHeight="12.5" x14ac:dyDescent="0.3"/>
  <cols>
    <col min="1" max="16384" width="8.72656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9A4E-0557-40C5-A6D4-124B36410412}">
  <dimension ref="A1"/>
  <sheetViews>
    <sheetView workbookViewId="0"/>
  </sheetViews>
  <sheetFormatPr defaultRowHeight="12.5" x14ac:dyDescent="0.3"/>
  <cols>
    <col min="1" max="16384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02 (IAS 37 &amp; 23)</vt:lpstr>
      <vt:lpstr>Question 04 (IAS 21)</vt:lpstr>
      <vt:lpstr>Question 01 (Various STDs)</vt:lpstr>
      <vt:lpstr>Question 03 (IAS 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Mpofu</dc:creator>
  <cp:lastModifiedBy>Romeo Mpofu</cp:lastModifiedBy>
  <dcterms:created xsi:type="dcterms:W3CDTF">2023-11-02T18:15:35Z</dcterms:created>
  <dcterms:modified xsi:type="dcterms:W3CDTF">2023-11-04T20:01:53Z</dcterms:modified>
</cp:coreProperties>
</file>