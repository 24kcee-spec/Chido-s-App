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929UJ\OneDrive - EY\Documents\"/>
    </mc:Choice>
  </mc:AlternateContent>
  <xr:revisionPtr revIDLastSave="0" documentId="8_{83F990A9-C8C7-4C66-BE9A-0D636CA8C111}" xr6:coauthVersionLast="47" xr6:coauthVersionMax="47" xr10:uidLastSave="{00000000-0000-0000-0000-000000000000}"/>
  <bookViews>
    <workbookView xWindow="-110" yWindow="-110" windowWidth="19420" windowHeight="10420" xr2:uid="{E92FF406-C802-4104-B34D-399ED6D2E069}"/>
  </bookViews>
  <sheets>
    <sheet name="Question 1" sheetId="1" r:id="rId1"/>
    <sheet name="Example Costing Endunamo " sheetId="4" r:id="rId2"/>
    <sheet name="Question 2(ABC)" sheetId="2" r:id="rId3"/>
    <sheet name="Question 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1" l="1"/>
  <c r="H29" i="1"/>
  <c r="H41" i="1"/>
  <c r="H40" i="1"/>
  <c r="H50" i="1"/>
  <c r="G7" i="1"/>
  <c r="N7" i="1" s="1"/>
  <c r="G6" i="1"/>
  <c r="G17" i="1"/>
  <c r="G8" i="1" s="1"/>
  <c r="H21" i="1" s="1"/>
  <c r="F22" i="1" s="1"/>
  <c r="G33" i="1" s="1"/>
  <c r="P31" i="4"/>
  <c r="P30" i="4"/>
  <c r="P29" i="4"/>
  <c r="O24" i="4"/>
  <c r="O23" i="4"/>
  <c r="P26" i="4" s="1"/>
  <c r="O22" i="4"/>
  <c r="P20" i="4"/>
  <c r="D30" i="4"/>
  <c r="D29" i="4"/>
  <c r="I40" i="4"/>
  <c r="L40" i="4" s="1"/>
  <c r="L38" i="4" s="1"/>
  <c r="D47" i="4" s="1"/>
  <c r="C25" i="4" s="1"/>
  <c r="D46" i="4"/>
  <c r="D43" i="4"/>
  <c r="D39" i="4"/>
  <c r="D40" i="4" s="1"/>
  <c r="D42" i="4" s="1"/>
  <c r="D51" i="4" s="1"/>
  <c r="D53" i="4" s="1"/>
  <c r="D28" i="4" s="1"/>
  <c r="D21" i="4"/>
  <c r="C23" i="4"/>
  <c r="G34" i="1" l="1"/>
  <c r="G9" i="1"/>
  <c r="N6" i="1"/>
  <c r="N9" i="1" s="1"/>
  <c r="P32" i="4"/>
  <c r="D44" i="4"/>
  <c r="C24" i="4" s="1"/>
  <c r="D25" i="4" s="1"/>
  <c r="D26" i="4" s="1"/>
  <c r="D31" i="4" s="1"/>
  <c r="S32" i="1" l="1"/>
  <c r="S31" i="1"/>
  <c r="T37" i="1" s="1"/>
  <c r="T38" i="1" s="1"/>
  <c r="T43" i="1" s="1"/>
  <c r="G32" i="1"/>
  <c r="G31" i="1"/>
  <c r="S34" i="1"/>
  <c r="H56" i="1" s="1"/>
  <c r="H37" i="1" l="1"/>
  <c r="H38" i="1" s="1"/>
  <c r="H43" i="1" s="1"/>
  <c r="H54" i="1" s="1"/>
  <c r="H55" i="1"/>
  <c r="H57" i="1" l="1"/>
  <c r="H59" i="1" s="1"/>
</calcChain>
</file>

<file path=xl/sharedStrings.xml><?xml version="1.0" encoding="utf-8"?>
<sst xmlns="http://schemas.openxmlformats.org/spreadsheetml/2006/main" count="157" uniqueCount="107">
  <si>
    <t xml:space="preserve">Revenue </t>
  </si>
  <si>
    <t xml:space="preserve">Cost of sales </t>
  </si>
  <si>
    <t xml:space="preserve">Opening balance </t>
  </si>
  <si>
    <t xml:space="preserve">Production Cost </t>
  </si>
  <si>
    <t xml:space="preserve">Closing Balance </t>
  </si>
  <si>
    <t xml:space="preserve">Gross Profit </t>
  </si>
  <si>
    <t xml:space="preserve">Period Costs </t>
  </si>
  <si>
    <t>Under/ Overabsortion</t>
  </si>
  <si>
    <t xml:space="preserve">Variable Non Manufactering Overheads </t>
  </si>
  <si>
    <t>Fixed Non Manufatcuring Overhears</t>
  </si>
  <si>
    <t>Profit Before Tax</t>
  </si>
  <si>
    <t>Question</t>
  </si>
  <si>
    <t xml:space="preserve">There were 1000 Units of finished goods at the beginning of the period . The variable manufactering cost of each item is 130 while the fixed cost per unit is 35 per unit. The entity used Fisrt in fist out method </t>
  </si>
  <si>
    <t xml:space="preserve">Details </t>
  </si>
  <si>
    <t xml:space="preserve">Budget </t>
  </si>
  <si>
    <t xml:space="preserve">Actual </t>
  </si>
  <si>
    <t>Number of units sold</t>
  </si>
  <si>
    <t xml:space="preserve">Number of units produced </t>
  </si>
  <si>
    <t xml:space="preserve">Sales Price Per Unit </t>
  </si>
  <si>
    <t xml:space="preserve">Variable Manufacturing Costs </t>
  </si>
  <si>
    <t>Fixed Manufacturing Costs</t>
  </si>
  <si>
    <t xml:space="preserve">Fixed Non Manufacturing Costs </t>
  </si>
  <si>
    <t xml:space="preserve">Variable selling cost </t>
  </si>
  <si>
    <t>Y limited produced product Z refer to the information below :</t>
  </si>
  <si>
    <t xml:space="preserve">Required </t>
  </si>
  <si>
    <t xml:space="preserve">a) Prepare the absorbtion costing statement </t>
  </si>
  <si>
    <t xml:space="preserve">b) Reconcile it to the marginal costing statement </t>
  </si>
  <si>
    <t>Comptuation of OAR</t>
  </si>
  <si>
    <t>Budgeted Cost</t>
  </si>
  <si>
    <t xml:space="preserve">Budgeted Activity </t>
  </si>
  <si>
    <t>Which cost do we use , for other staff use the actual</t>
  </si>
  <si>
    <t>OAR</t>
  </si>
  <si>
    <t xml:space="preserve">Production Cost absorbed </t>
  </si>
  <si>
    <t xml:space="preserve">Direct Cost </t>
  </si>
  <si>
    <t>Production cost</t>
  </si>
  <si>
    <t xml:space="preserve">Cost per Unit </t>
  </si>
  <si>
    <t xml:space="preserve">Closing stock Value </t>
  </si>
  <si>
    <t>W1</t>
  </si>
  <si>
    <t xml:space="preserve">Opening stock </t>
  </si>
  <si>
    <t xml:space="preserve">Closing Stock </t>
  </si>
  <si>
    <t xml:space="preserve">Opening Stock </t>
  </si>
  <si>
    <t xml:space="preserve">Production </t>
  </si>
  <si>
    <t xml:space="preserve">Balancing Figure </t>
  </si>
  <si>
    <t xml:space="preserve">Sales </t>
  </si>
  <si>
    <t>Absorbed fixed costs</t>
  </si>
  <si>
    <t xml:space="preserve">Actual Fixed Costs </t>
  </si>
  <si>
    <t>Under-Absorbtion</t>
  </si>
  <si>
    <t xml:space="preserve">Workings </t>
  </si>
  <si>
    <t>Production Budget</t>
  </si>
  <si>
    <t xml:space="preserve">Part B of the Question </t>
  </si>
  <si>
    <t xml:space="preserve">Variable Non Manufacturing Costs </t>
  </si>
  <si>
    <t>Contribution</t>
  </si>
  <si>
    <t xml:space="preserve">Based on normal activity, calculate the unit product cost under both the 
absorption and marginal costing methods. </t>
  </si>
  <si>
    <t xml:space="preserve">Product Cost per Unit </t>
  </si>
  <si>
    <t xml:space="preserve">Absortion Costing </t>
  </si>
  <si>
    <t xml:space="preserve">Variable Costing </t>
  </si>
  <si>
    <t xml:space="preserve">Direct Material Cost </t>
  </si>
  <si>
    <t xml:space="preserve">Variable OHS </t>
  </si>
  <si>
    <t xml:space="preserve">Fixed OHS per Unit </t>
  </si>
  <si>
    <t xml:space="preserve">Cost </t>
  </si>
  <si>
    <t xml:space="preserve">Computation of Fixed Production OHS </t>
  </si>
  <si>
    <t xml:space="preserve">Budgeted Cost </t>
  </si>
  <si>
    <t>=</t>
  </si>
  <si>
    <t xml:space="preserve">Calculate the fixed production overhead absorbed during the period, and 
the extent of any under/over absorption, if an absorption costing method is 
employed. </t>
  </si>
  <si>
    <t xml:space="preserve">Under or overabsorbtion </t>
  </si>
  <si>
    <t>Actual Cost</t>
  </si>
  <si>
    <t>-</t>
  </si>
  <si>
    <t>[OAR*Actual Activity )</t>
  </si>
  <si>
    <t>A</t>
  </si>
  <si>
    <t>B</t>
  </si>
  <si>
    <t>C</t>
  </si>
  <si>
    <t xml:space="preserve">Profit Statements </t>
  </si>
  <si>
    <t>Steps 1</t>
  </si>
  <si>
    <t xml:space="preserve">To make your life easy have a template this will allow you to scoop ease marks </t>
  </si>
  <si>
    <t>Production costs</t>
  </si>
  <si>
    <t xml:space="preserve">Variable Costs </t>
  </si>
  <si>
    <t xml:space="preserve">Variable Selling Costs </t>
  </si>
  <si>
    <t xml:space="preserve">Variable Non Manufacturing OHS </t>
  </si>
  <si>
    <t xml:space="preserve">Non Manufacturing Fixed Costs </t>
  </si>
  <si>
    <t>Over and Under absorbtion</t>
  </si>
  <si>
    <t xml:space="preserve">Fixed Costs </t>
  </si>
  <si>
    <t xml:space="preserve">Operating Profit </t>
  </si>
  <si>
    <t>Ref</t>
  </si>
  <si>
    <t xml:space="preserve">Amount </t>
  </si>
  <si>
    <t>Amount</t>
  </si>
  <si>
    <r>
      <t xml:space="preserve">Please not that here we re told that the actual cost were as per budget ,Let assume we were not told , in that case we couldn’t have been able to 
1) computed the Variable costing staff since they use actual
 2) computing the under and over recovery
</t>
    </r>
    <r>
      <rPr>
        <b/>
        <sz val="9"/>
        <color rgb="FFC00000"/>
        <rFont val="EYInterstate Light"/>
      </rPr>
      <t xml:space="preserve">Why: these two use actual Information </t>
    </r>
  </si>
  <si>
    <t>Over-absobtion</t>
  </si>
  <si>
    <t xml:space="preserve">we don’t compute contribution here </t>
  </si>
  <si>
    <t xml:space="preserve">Production Budget </t>
  </si>
  <si>
    <t xml:space="preserve">opening stock </t>
  </si>
  <si>
    <t xml:space="preserve">add production </t>
  </si>
  <si>
    <t xml:space="preserve">less sales </t>
  </si>
  <si>
    <t>Closing stock</t>
  </si>
  <si>
    <t xml:space="preserve">Not applicable in variable costing system </t>
  </si>
  <si>
    <t>Not given</t>
  </si>
  <si>
    <t xml:space="preserve">Already included above </t>
  </si>
  <si>
    <t xml:space="preserve">total costs absorbed in inventory </t>
  </si>
  <si>
    <t>not given</t>
  </si>
  <si>
    <t>D</t>
  </si>
  <si>
    <t xml:space="preserve">Reconciliation of Profits </t>
  </si>
  <si>
    <t>Absorbtion Profit</t>
  </si>
  <si>
    <t xml:space="preserve">add difference in opening stock </t>
  </si>
  <si>
    <t xml:space="preserve">less difference in closing stock </t>
  </si>
  <si>
    <t xml:space="preserve">Reconciled Marginal Profit </t>
  </si>
  <si>
    <t xml:space="preserve">Control Check </t>
  </si>
  <si>
    <t xml:space="preserve">to confirm is this has been successfully reconciled 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</si>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</sst>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EYInterstate"/>
    </font>
    <font>
      <sz val="9"/>
      <color theme="1"/>
      <name val="EYInterstate Light"/>
    </font>
    <font>
      <b/>
      <sz val="9"/>
      <color theme="1"/>
      <name val="EYInterstate Light"/>
    </font>
    <font>
      <u/>
      <sz val="9"/>
      <color theme="1"/>
      <name val="EYInterstate Light"/>
    </font>
    <font>
      <b/>
      <u/>
      <sz val="9"/>
      <color theme="1"/>
      <name val="EYInterstate Light"/>
    </font>
    <font>
      <b/>
      <sz val="9"/>
      <color rgb="FFC00000"/>
      <name val="EYInterstate Light"/>
    </font>
    <font>
      <b/>
      <i/>
      <sz val="9"/>
      <color theme="1"/>
      <name val="EYInterstate Ligh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4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43" fontId="3" fillId="2" borderId="0" xfId="1" applyFont="1" applyFill="1"/>
    <xf numFmtId="0" fontId="5" fillId="2" borderId="0" xfId="0" applyFont="1" applyFill="1"/>
    <xf numFmtId="0" fontId="6" fillId="2" borderId="0" xfId="0" applyFont="1" applyFill="1"/>
    <xf numFmtId="43" fontId="3" fillId="2" borderId="3" xfId="1" applyFont="1" applyFill="1" applyBorder="1"/>
    <xf numFmtId="43" fontId="3" fillId="2" borderId="0" xfId="0" applyNumberFormat="1" applyFont="1" applyFill="1"/>
    <xf numFmtId="43" fontId="3" fillId="2" borderId="4" xfId="0" applyNumberFormat="1" applyFont="1" applyFill="1" applyBorder="1"/>
    <xf numFmtId="0" fontId="3" fillId="2" borderId="8" xfId="0" applyFont="1" applyFill="1" applyBorder="1"/>
    <xf numFmtId="0" fontId="3" fillId="2" borderId="0" xfId="0" applyFont="1" applyFill="1" applyBorder="1"/>
    <xf numFmtId="43" fontId="3" fillId="2" borderId="5" xfId="0" applyNumberFormat="1" applyFont="1" applyFill="1" applyBorder="1"/>
    <xf numFmtId="43" fontId="3" fillId="2" borderId="6" xfId="0" applyNumberFormat="1" applyFont="1" applyFill="1" applyBorder="1"/>
    <xf numFmtId="43" fontId="3" fillId="2" borderId="0" xfId="1" applyFont="1" applyFill="1" applyBorder="1"/>
    <xf numFmtId="43" fontId="3" fillId="2" borderId="9" xfId="0" applyNumberFormat="1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4" fillId="2" borderId="1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3" fillId="3" borderId="13" xfId="0" applyFont="1" applyFill="1" applyBorder="1"/>
    <xf numFmtId="0" fontId="3" fillId="3" borderId="0" xfId="0" applyFont="1" applyFill="1" applyBorder="1"/>
    <xf numFmtId="0" fontId="4" fillId="2" borderId="13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6" fillId="2" borderId="13" xfId="0" applyFont="1" applyFill="1" applyBorder="1"/>
    <xf numFmtId="43" fontId="3" fillId="2" borderId="0" xfId="0" applyNumberFormat="1" applyFont="1" applyFill="1" applyBorder="1"/>
    <xf numFmtId="0" fontId="3" fillId="2" borderId="15" xfId="0" applyFont="1" applyFill="1" applyBorder="1"/>
    <xf numFmtId="0" fontId="5" fillId="2" borderId="13" xfId="0" applyFont="1" applyFill="1" applyBorder="1"/>
    <xf numFmtId="0" fontId="3" fillId="3" borderId="0" xfId="0" applyFont="1" applyFill="1" applyBorder="1" applyAlignment="1">
      <alignment horizontal="center"/>
    </xf>
    <xf numFmtId="0" fontId="3" fillId="2" borderId="13" xfId="0" applyFont="1" applyFill="1" applyBorder="1" applyAlignment="1"/>
    <xf numFmtId="0" fontId="3" fillId="2" borderId="0" xfId="0" applyFont="1" applyFill="1" applyBorder="1" applyAlignment="1"/>
    <xf numFmtId="43" fontId="3" fillId="2" borderId="0" xfId="0" applyNumberFormat="1" applyFont="1" applyFill="1" applyBorder="1" applyAlignment="1"/>
    <xf numFmtId="0" fontId="6" fillId="2" borderId="0" xfId="0" applyFont="1" applyFill="1" applyAlignment="1"/>
    <xf numFmtId="0" fontId="4" fillId="2" borderId="0" xfId="0" applyFont="1" applyFill="1" applyAlignment="1"/>
    <xf numFmtId="0" fontId="3" fillId="2" borderId="16" xfId="0" applyFont="1" applyFill="1" applyBorder="1" applyAlignment="1">
      <alignment horizontal="left" vertical="top" wrapText="1"/>
    </xf>
    <xf numFmtId="0" fontId="3" fillId="2" borderId="17" xfId="0" applyFont="1" applyFill="1" applyBorder="1" applyAlignment="1">
      <alignment horizontal="left" vertical="top" wrapText="1"/>
    </xf>
    <xf numFmtId="0" fontId="3" fillId="2" borderId="18" xfId="0" applyFont="1" applyFill="1" applyBorder="1" applyAlignment="1">
      <alignment horizontal="left" vertical="top" wrapText="1"/>
    </xf>
    <xf numFmtId="0" fontId="3" fillId="2" borderId="19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0" xfId="0" applyFont="1" applyFill="1" applyBorder="1" applyAlignment="1">
      <alignment horizontal="left" vertical="top" wrapText="1"/>
    </xf>
    <xf numFmtId="0" fontId="7" fillId="2" borderId="0" xfId="0" applyFont="1" applyFill="1"/>
    <xf numFmtId="0" fontId="4" fillId="3" borderId="0" xfId="0" applyFont="1" applyFill="1"/>
    <xf numFmtId="43" fontId="3" fillId="2" borderId="4" xfId="1" applyFont="1" applyFill="1" applyBorder="1"/>
    <xf numFmtId="43" fontId="3" fillId="2" borderId="5" xfId="1" applyFont="1" applyFill="1" applyBorder="1"/>
    <xf numFmtId="43" fontId="3" fillId="2" borderId="0" xfId="1" applyFont="1" applyFill="1" applyAlignment="1">
      <alignment wrapText="1"/>
    </xf>
    <xf numFmtId="43" fontId="3" fillId="2" borderId="21" xfId="0" applyNumberFormat="1" applyFont="1" applyFill="1" applyBorder="1"/>
    <xf numFmtId="0" fontId="8" fillId="2" borderId="0" xfId="0" applyFont="1" applyFill="1"/>
    <xf numFmtId="0" fontId="7" fillId="2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BF33-DD50-413D-A52F-E3DD8D96C715}">
  <dimension ref="A2:U60"/>
  <sheetViews>
    <sheetView tabSelected="1" topLeftCell="A5" zoomScale="90" zoomScaleNormal="90" workbookViewId="0">
      <selection activeCell="L46" sqref="L46"/>
    </sheetView>
  </sheetViews>
  <sheetFormatPr defaultRowHeight="12.5" x14ac:dyDescent="0.3"/>
  <cols>
    <col min="1" max="1" width="8.7265625" style="48"/>
    <col min="2" max="5" width="8.7265625" style="2"/>
    <col min="6" max="6" width="13.453125" style="2" bestFit="1" customWidth="1"/>
    <col min="7" max="7" width="17.453125" style="2" customWidth="1"/>
    <col min="8" max="8" width="13.453125" style="2" bestFit="1" customWidth="1"/>
    <col min="9" max="18" width="8.7265625" style="2"/>
    <col min="19" max="19" width="16.6328125" style="2" customWidth="1"/>
    <col min="20" max="20" width="14.453125" style="2" bestFit="1" customWidth="1"/>
    <col min="21" max="16384" width="8.7265625" style="2"/>
  </cols>
  <sheetData>
    <row r="2" spans="1:14" x14ac:dyDescent="0.3">
      <c r="B2" s="37" t="s">
        <v>52</v>
      </c>
    </row>
    <row r="4" spans="1:14" x14ac:dyDescent="0.3">
      <c r="A4" s="48" t="s">
        <v>68</v>
      </c>
      <c r="B4" s="3" t="s">
        <v>53</v>
      </c>
    </row>
    <row r="5" spans="1:14" x14ac:dyDescent="0.3">
      <c r="B5" s="8" t="s">
        <v>54</v>
      </c>
      <c r="F5" s="8"/>
      <c r="G5" s="8" t="s">
        <v>59</v>
      </c>
      <c r="J5" s="8" t="s">
        <v>55</v>
      </c>
      <c r="N5" s="8" t="s">
        <v>59</v>
      </c>
    </row>
    <row r="6" spans="1:14" x14ac:dyDescent="0.3">
      <c r="B6" s="2" t="s">
        <v>56</v>
      </c>
      <c r="G6" s="7">
        <f>26400000/240000</f>
        <v>110</v>
      </c>
      <c r="J6" s="2" t="s">
        <v>56</v>
      </c>
      <c r="N6" s="7">
        <f>G6</f>
        <v>110</v>
      </c>
    </row>
    <row r="7" spans="1:14" x14ac:dyDescent="0.3">
      <c r="B7" s="2" t="s">
        <v>57</v>
      </c>
      <c r="G7" s="7">
        <f>4800000/240000</f>
        <v>20</v>
      </c>
      <c r="J7" s="2" t="s">
        <v>57</v>
      </c>
      <c r="N7" s="7">
        <f>G7</f>
        <v>20</v>
      </c>
    </row>
    <row r="8" spans="1:14" x14ac:dyDescent="0.3">
      <c r="B8" s="2" t="s">
        <v>58</v>
      </c>
      <c r="G8" s="7">
        <f>G17</f>
        <v>60</v>
      </c>
      <c r="J8" s="2" t="s">
        <v>58</v>
      </c>
      <c r="N8" s="7">
        <v>0</v>
      </c>
    </row>
    <row r="9" spans="1:14" x14ac:dyDescent="0.3">
      <c r="G9" s="11">
        <f>SUM(G6:G8)</f>
        <v>190</v>
      </c>
      <c r="N9" s="7">
        <f>SUM(N6:N8)</f>
        <v>130</v>
      </c>
    </row>
    <row r="13" spans="1:14" x14ac:dyDescent="0.3">
      <c r="B13" s="2" t="s">
        <v>60</v>
      </c>
      <c r="F13" s="2" t="s">
        <v>62</v>
      </c>
      <c r="G13" s="2" t="s">
        <v>61</v>
      </c>
    </row>
    <row r="14" spans="1:14" x14ac:dyDescent="0.3">
      <c r="D14" s="2" t="s">
        <v>61</v>
      </c>
      <c r="G14" s="2" t="s">
        <v>29</v>
      </c>
    </row>
    <row r="15" spans="1:14" x14ac:dyDescent="0.3">
      <c r="D15" s="2" t="s">
        <v>29</v>
      </c>
      <c r="F15" s="2" t="s">
        <v>62</v>
      </c>
      <c r="G15" s="7">
        <v>14400000</v>
      </c>
    </row>
    <row r="16" spans="1:14" x14ac:dyDescent="0.3">
      <c r="G16" s="7">
        <v>240000</v>
      </c>
    </row>
    <row r="17" spans="1:21" x14ac:dyDescent="0.3">
      <c r="D17" s="3" t="s">
        <v>31</v>
      </c>
      <c r="G17" s="7">
        <f>G15/G16</f>
        <v>60</v>
      </c>
    </row>
    <row r="18" spans="1:21" ht="13" thickBot="1" x14ac:dyDescent="0.3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21" x14ac:dyDescent="0.3">
      <c r="A19" s="48" t="s">
        <v>69</v>
      </c>
      <c r="B19" s="38" t="s">
        <v>63</v>
      </c>
    </row>
    <row r="20" spans="1:21" x14ac:dyDescent="0.3">
      <c r="B20" s="2" t="s">
        <v>64</v>
      </c>
      <c r="E20" s="2" t="s">
        <v>62</v>
      </c>
      <c r="F20" s="2" t="s">
        <v>65</v>
      </c>
      <c r="G20" s="2" t="s">
        <v>66</v>
      </c>
      <c r="H20" s="2" t="s">
        <v>67</v>
      </c>
    </row>
    <row r="21" spans="1:21" x14ac:dyDescent="0.3">
      <c r="E21" s="2" t="s">
        <v>62</v>
      </c>
      <c r="F21" s="7">
        <v>14400000</v>
      </c>
      <c r="H21" s="11">
        <f>260000*G8</f>
        <v>15600000</v>
      </c>
      <c r="K21" s="39" t="s">
        <v>85</v>
      </c>
      <c r="L21" s="40"/>
      <c r="M21" s="40"/>
      <c r="N21" s="40"/>
      <c r="O21" s="40"/>
      <c r="P21" s="40"/>
      <c r="Q21" s="40"/>
      <c r="R21" s="40"/>
      <c r="S21" s="40"/>
      <c r="T21" s="40"/>
      <c r="U21" s="41"/>
    </row>
    <row r="22" spans="1:21" x14ac:dyDescent="0.3">
      <c r="C22" s="2" t="s">
        <v>86</v>
      </c>
      <c r="E22" s="2" t="s">
        <v>62</v>
      </c>
      <c r="F22" s="11">
        <f>H21-F21</f>
        <v>1200000</v>
      </c>
      <c r="K22" s="42"/>
      <c r="L22" s="43"/>
      <c r="M22" s="43"/>
      <c r="N22" s="43"/>
      <c r="O22" s="43"/>
      <c r="P22" s="43"/>
      <c r="Q22" s="43"/>
      <c r="R22" s="43"/>
      <c r="S22" s="43"/>
      <c r="T22" s="43"/>
      <c r="U22" s="44"/>
    </row>
    <row r="23" spans="1:21" x14ac:dyDescent="0.3">
      <c r="K23" s="42"/>
      <c r="L23" s="43"/>
      <c r="M23" s="43"/>
      <c r="N23" s="43"/>
      <c r="O23" s="43"/>
      <c r="P23" s="43"/>
      <c r="Q23" s="43"/>
      <c r="R23" s="43"/>
      <c r="S23" s="43"/>
      <c r="T23" s="43"/>
      <c r="U23" s="44"/>
    </row>
    <row r="24" spans="1:21" ht="32.5" customHeight="1" x14ac:dyDescent="0.3">
      <c r="K24" s="45"/>
      <c r="L24" s="46"/>
      <c r="M24" s="46"/>
      <c r="N24" s="46"/>
      <c r="O24" s="46"/>
      <c r="P24" s="46"/>
      <c r="Q24" s="46"/>
      <c r="R24" s="46"/>
      <c r="S24" s="46"/>
      <c r="T24" s="46"/>
      <c r="U24" s="47"/>
    </row>
    <row r="25" spans="1:21" ht="13" thickBot="1" x14ac:dyDescent="0.3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21" x14ac:dyDescent="0.3">
      <c r="A26" s="48" t="s">
        <v>70</v>
      </c>
      <c r="B26" s="9" t="s">
        <v>71</v>
      </c>
    </row>
    <row r="27" spans="1:21" x14ac:dyDescent="0.3">
      <c r="B27" s="2" t="s">
        <v>72</v>
      </c>
      <c r="C27" s="2" t="s">
        <v>73</v>
      </c>
    </row>
    <row r="28" spans="1:21" x14ac:dyDescent="0.3">
      <c r="F28" s="49" t="s">
        <v>82</v>
      </c>
      <c r="G28" s="49" t="s">
        <v>83</v>
      </c>
      <c r="H28" s="49" t="s">
        <v>83</v>
      </c>
      <c r="Q28" s="49" t="s">
        <v>82</v>
      </c>
      <c r="R28" s="49"/>
      <c r="S28" s="49" t="s">
        <v>84</v>
      </c>
      <c r="T28" s="49" t="s">
        <v>83</v>
      </c>
    </row>
    <row r="29" spans="1:21" x14ac:dyDescent="0.3">
      <c r="C29" s="2" t="s">
        <v>0</v>
      </c>
      <c r="H29" s="7">
        <f>230000*300</f>
        <v>69000000</v>
      </c>
      <c r="M29" s="2" t="s">
        <v>0</v>
      </c>
      <c r="T29" s="7">
        <f>230000*300</f>
        <v>69000000</v>
      </c>
    </row>
    <row r="30" spans="1:21" ht="13" thickBot="1" x14ac:dyDescent="0.35">
      <c r="C30" s="3" t="s">
        <v>1</v>
      </c>
      <c r="M30" s="3" t="s">
        <v>1</v>
      </c>
    </row>
    <row r="31" spans="1:21" x14ac:dyDescent="0.3">
      <c r="C31" s="2" t="s">
        <v>38</v>
      </c>
      <c r="G31" s="10">
        <f>H47*G9</f>
        <v>7600000</v>
      </c>
      <c r="M31" s="2" t="s">
        <v>38</v>
      </c>
      <c r="S31" s="10">
        <f>H47*N9</f>
        <v>5200000</v>
      </c>
    </row>
    <row r="32" spans="1:21" x14ac:dyDescent="0.3">
      <c r="C32" s="2" t="s">
        <v>74</v>
      </c>
      <c r="G32" s="50">
        <f>H48*G9</f>
        <v>49400000</v>
      </c>
      <c r="M32" s="2" t="s">
        <v>74</v>
      </c>
      <c r="S32" s="50">
        <f>H48*N9</f>
        <v>33800000</v>
      </c>
    </row>
    <row r="33" spans="2:21" ht="13.5" x14ac:dyDescent="0.35">
      <c r="C33" s="2" t="s">
        <v>79</v>
      </c>
      <c r="G33" s="50">
        <f>-F22</f>
        <v>-1200000</v>
      </c>
      <c r="M33" s="2" t="s">
        <v>79</v>
      </c>
      <c r="S33" s="50">
        <v>0</v>
      </c>
      <c r="U33" s="54" t="s">
        <v>93</v>
      </c>
    </row>
    <row r="34" spans="2:21" x14ac:dyDescent="0.3">
      <c r="C34" s="2" t="s">
        <v>39</v>
      </c>
      <c r="G34" s="12">
        <f>-H50*G9</f>
        <v>-13300000</v>
      </c>
      <c r="M34" s="2" t="s">
        <v>39</v>
      </c>
      <c r="S34" s="50">
        <f>-H50*N9</f>
        <v>-9100000</v>
      </c>
    </row>
    <row r="35" spans="2:21" x14ac:dyDescent="0.3">
      <c r="C35" s="3" t="s">
        <v>75</v>
      </c>
      <c r="G35" s="4"/>
      <c r="M35" s="3" t="s">
        <v>75</v>
      </c>
      <c r="S35" s="4"/>
    </row>
    <row r="36" spans="2:21" x14ac:dyDescent="0.3">
      <c r="C36" s="2" t="s">
        <v>76</v>
      </c>
      <c r="G36" s="50">
        <v>0</v>
      </c>
      <c r="I36" s="2" t="s">
        <v>87</v>
      </c>
      <c r="M36" s="2" t="s">
        <v>76</v>
      </c>
      <c r="S36" s="50">
        <v>2400000</v>
      </c>
    </row>
    <row r="37" spans="2:21" ht="13" thickBot="1" x14ac:dyDescent="0.35">
      <c r="C37" s="2" t="s">
        <v>77</v>
      </c>
      <c r="G37" s="51">
        <v>0</v>
      </c>
      <c r="H37" s="16">
        <f>-SUM(G31:G37)</f>
        <v>-42500000</v>
      </c>
      <c r="I37" s="2" t="s">
        <v>87</v>
      </c>
      <c r="M37" s="2" t="s">
        <v>77</v>
      </c>
      <c r="S37" s="51">
        <v>0</v>
      </c>
      <c r="T37" s="16">
        <f>-SUM(S31:S37)</f>
        <v>-32300000</v>
      </c>
      <c r="U37" s="2" t="s">
        <v>94</v>
      </c>
    </row>
    <row r="38" spans="2:21" x14ac:dyDescent="0.3">
      <c r="C38" s="3" t="s">
        <v>5</v>
      </c>
      <c r="H38" s="11">
        <f>SUM(H29:H37)</f>
        <v>26500000</v>
      </c>
      <c r="M38" s="3" t="s">
        <v>51</v>
      </c>
      <c r="T38" s="11">
        <f>SUM(T29:T37)</f>
        <v>36700000</v>
      </c>
    </row>
    <row r="39" spans="2:21" x14ac:dyDescent="0.3">
      <c r="C39" s="2" t="s">
        <v>78</v>
      </c>
      <c r="H39" s="7">
        <v>-9600000</v>
      </c>
      <c r="M39" s="2" t="s">
        <v>78</v>
      </c>
      <c r="T39" s="7">
        <v>-9600000</v>
      </c>
    </row>
    <row r="40" spans="2:21" x14ac:dyDescent="0.3">
      <c r="C40" s="2" t="s">
        <v>80</v>
      </c>
      <c r="H40" s="7">
        <f>0</f>
        <v>0</v>
      </c>
      <c r="I40" s="2" t="s">
        <v>96</v>
      </c>
      <c r="M40" s="2" t="s">
        <v>80</v>
      </c>
      <c r="T40" s="7">
        <v>-14400000</v>
      </c>
    </row>
    <row r="41" spans="2:21" x14ac:dyDescent="0.3">
      <c r="C41" s="2" t="s">
        <v>76</v>
      </c>
      <c r="H41" s="11">
        <f>-S36</f>
        <v>-2400000</v>
      </c>
      <c r="M41" s="2" t="s">
        <v>76</v>
      </c>
      <c r="T41" s="2">
        <v>0</v>
      </c>
      <c r="U41" s="2" t="s">
        <v>95</v>
      </c>
    </row>
    <row r="42" spans="2:21" x14ac:dyDescent="0.3">
      <c r="C42" s="2" t="s">
        <v>77</v>
      </c>
      <c r="H42" s="2">
        <v>0</v>
      </c>
      <c r="I42" s="2" t="s">
        <v>97</v>
      </c>
      <c r="M42" s="2" t="s">
        <v>77</v>
      </c>
      <c r="T42" s="2">
        <v>0</v>
      </c>
      <c r="U42" s="2" t="s">
        <v>95</v>
      </c>
    </row>
    <row r="43" spans="2:21" ht="13" thickBot="1" x14ac:dyDescent="0.35">
      <c r="C43" s="3" t="s">
        <v>81</v>
      </c>
      <c r="H43" s="53">
        <f>SUM(H38:H42)</f>
        <v>14500000</v>
      </c>
      <c r="M43" s="3" t="s">
        <v>81</v>
      </c>
      <c r="T43" s="53">
        <f>SUM(T38:T42)</f>
        <v>12700000</v>
      </c>
    </row>
    <row r="44" spans="2:21" ht="13" thickTop="1" x14ac:dyDescent="0.3"/>
    <row r="45" spans="2:21" x14ac:dyDescent="0.3">
      <c r="B45" s="9" t="s">
        <v>47</v>
      </c>
    </row>
    <row r="46" spans="2:21" x14ac:dyDescent="0.3">
      <c r="C46" s="2" t="s">
        <v>88</v>
      </c>
    </row>
    <row r="47" spans="2:21" x14ac:dyDescent="0.3">
      <c r="C47" s="2" t="s">
        <v>89</v>
      </c>
      <c r="H47" s="52">
        <v>40000</v>
      </c>
    </row>
    <row r="48" spans="2:21" x14ac:dyDescent="0.3">
      <c r="C48" s="2" t="s">
        <v>90</v>
      </c>
      <c r="H48" s="7">
        <v>260000</v>
      </c>
    </row>
    <row r="49" spans="1:15" x14ac:dyDescent="0.3">
      <c r="C49" s="2" t="s">
        <v>91</v>
      </c>
      <c r="H49" s="7">
        <v>-230000</v>
      </c>
    </row>
    <row r="50" spans="1:15" ht="13" thickBot="1" x14ac:dyDescent="0.35">
      <c r="C50" s="2" t="s">
        <v>92</v>
      </c>
      <c r="H50" s="53">
        <f>SUM(H47:H49)</f>
        <v>70000</v>
      </c>
      <c r="O50" s="2" t="s">
        <v>106</v>
      </c>
    </row>
    <row r="51" spans="1:15" ht="13" thickTop="1" x14ac:dyDescent="0.3"/>
    <row r="52" spans="1:15" s="14" customFormat="1" ht="13" thickBot="1" x14ac:dyDescent="0.35">
      <c r="A52" s="5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5" s="14" customFormat="1" x14ac:dyDescent="0.3">
      <c r="A53" s="48" t="s">
        <v>98</v>
      </c>
      <c r="B53" s="14" t="s">
        <v>99</v>
      </c>
    </row>
    <row r="54" spans="1:15" x14ac:dyDescent="0.3">
      <c r="B54" s="2" t="s">
        <v>100</v>
      </c>
      <c r="H54" s="11">
        <f>H43</f>
        <v>14500000</v>
      </c>
    </row>
    <row r="55" spans="1:15" x14ac:dyDescent="0.3">
      <c r="B55" s="2" t="s">
        <v>101</v>
      </c>
      <c r="H55" s="11">
        <f>G31-S31</f>
        <v>2400000</v>
      </c>
    </row>
    <row r="56" spans="1:15" x14ac:dyDescent="0.3">
      <c r="B56" s="2" t="s">
        <v>102</v>
      </c>
      <c r="H56" s="11">
        <f>(G34-S34)</f>
        <v>-4200000</v>
      </c>
    </row>
    <row r="57" spans="1:15" x14ac:dyDescent="0.3">
      <c r="B57" s="2" t="s">
        <v>103</v>
      </c>
      <c r="H57" s="11">
        <f>SUM(H54:H56)</f>
        <v>12700000</v>
      </c>
    </row>
    <row r="59" spans="1:15" ht="13.5" x14ac:dyDescent="0.35">
      <c r="B59" s="2" t="s">
        <v>104</v>
      </c>
      <c r="H59" s="11">
        <f>H57-T43</f>
        <v>0</v>
      </c>
      <c r="I59" s="54" t="s">
        <v>105</v>
      </c>
    </row>
    <row r="60" spans="1:15" ht="13" thickBot="1" x14ac:dyDescent="0.3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</sheetData>
  <mergeCells count="1">
    <mergeCell ref="K21:U24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5367-C869-428B-A772-FC178689EED3}">
  <dimension ref="B1:P57"/>
  <sheetViews>
    <sheetView topLeftCell="C10" zoomScale="90" zoomScaleNormal="90" workbookViewId="0">
      <selection activeCell="P24" sqref="P24"/>
    </sheetView>
  </sheetViews>
  <sheetFormatPr defaultRowHeight="12.5" x14ac:dyDescent="0.3"/>
  <cols>
    <col min="1" max="1" width="8.7265625" style="2"/>
    <col min="2" max="2" width="30.90625" style="2" bestFit="1" customWidth="1"/>
    <col min="3" max="4" width="13.90625" style="2" customWidth="1"/>
    <col min="5" max="13" width="8.7265625" style="2"/>
    <col min="14" max="14" width="30.90625" style="2" bestFit="1" customWidth="1"/>
    <col min="15" max="16" width="10.90625" style="2" bestFit="1" customWidth="1"/>
    <col min="17" max="16384" width="8.7265625" style="2"/>
  </cols>
  <sheetData>
    <row r="1" spans="2:14" x14ac:dyDescent="0.3"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spans="2:14" x14ac:dyDescent="0.3">
      <c r="B2" s="22" t="s">
        <v>11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23"/>
      <c r="N2" s="2" t="s">
        <v>49</v>
      </c>
    </row>
    <row r="3" spans="2:14" x14ac:dyDescent="0.3">
      <c r="B3" s="24" t="s">
        <v>23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23"/>
    </row>
    <row r="4" spans="2:14" x14ac:dyDescent="0.3">
      <c r="B4" s="25" t="s">
        <v>13</v>
      </c>
      <c r="C4" s="26" t="s">
        <v>14</v>
      </c>
      <c r="D4" s="26" t="s">
        <v>15</v>
      </c>
      <c r="E4" s="14"/>
      <c r="F4" s="14"/>
      <c r="G4" s="14"/>
      <c r="H4" s="14"/>
      <c r="I4" s="14"/>
      <c r="J4" s="14"/>
      <c r="K4" s="14"/>
      <c r="L4" s="14"/>
      <c r="M4" s="23"/>
    </row>
    <row r="5" spans="2:14" x14ac:dyDescent="0.3">
      <c r="B5" s="24" t="s">
        <v>17</v>
      </c>
      <c r="C5" s="17">
        <v>30000</v>
      </c>
      <c r="D5" s="17">
        <v>32400</v>
      </c>
      <c r="E5" s="14"/>
      <c r="F5" s="14"/>
      <c r="G5" s="14"/>
      <c r="H5" s="14"/>
      <c r="I5" s="14"/>
      <c r="J5" s="14"/>
      <c r="K5" s="14"/>
      <c r="L5" s="14"/>
      <c r="M5" s="23"/>
    </row>
    <row r="6" spans="2:14" x14ac:dyDescent="0.3">
      <c r="B6" s="24" t="s">
        <v>16</v>
      </c>
      <c r="C6" s="17">
        <v>28000</v>
      </c>
      <c r="D6" s="17">
        <v>30000</v>
      </c>
      <c r="E6" s="14"/>
      <c r="F6" s="14"/>
      <c r="G6" s="14"/>
      <c r="H6" s="14"/>
      <c r="I6" s="14"/>
      <c r="J6" s="14"/>
      <c r="K6" s="14"/>
      <c r="L6" s="14"/>
      <c r="M6" s="23"/>
    </row>
    <row r="7" spans="2:14" x14ac:dyDescent="0.3">
      <c r="B7" s="24" t="s">
        <v>18</v>
      </c>
      <c r="C7" s="17">
        <v>300</v>
      </c>
      <c r="D7" s="17">
        <v>325</v>
      </c>
      <c r="E7" s="14"/>
      <c r="F7" s="14"/>
      <c r="G7" s="14"/>
      <c r="H7" s="14"/>
      <c r="I7" s="14"/>
      <c r="J7" s="14"/>
      <c r="K7" s="14"/>
      <c r="L7" s="14"/>
      <c r="M7" s="23"/>
    </row>
    <row r="8" spans="2:14" x14ac:dyDescent="0.3">
      <c r="B8" s="24" t="s">
        <v>19</v>
      </c>
      <c r="C8" s="17">
        <v>120</v>
      </c>
      <c r="D8" s="17">
        <v>155</v>
      </c>
      <c r="E8" s="14"/>
      <c r="F8" s="14"/>
      <c r="G8" s="14"/>
      <c r="H8" s="14"/>
      <c r="I8" s="14"/>
      <c r="J8" s="14"/>
      <c r="K8" s="14"/>
      <c r="L8" s="14"/>
      <c r="M8" s="23"/>
    </row>
    <row r="9" spans="2:14" x14ac:dyDescent="0.3">
      <c r="B9" s="24" t="s">
        <v>22</v>
      </c>
      <c r="C9" s="17">
        <v>55</v>
      </c>
      <c r="D9" s="17">
        <v>54</v>
      </c>
      <c r="E9" s="14"/>
      <c r="F9" s="14"/>
      <c r="G9" s="14"/>
      <c r="H9" s="14"/>
      <c r="I9" s="14"/>
      <c r="J9" s="14"/>
      <c r="K9" s="14"/>
      <c r="L9" s="14"/>
      <c r="M9" s="23"/>
    </row>
    <row r="10" spans="2:14" x14ac:dyDescent="0.3">
      <c r="B10" s="24" t="s">
        <v>20</v>
      </c>
      <c r="C10" s="17">
        <v>810000</v>
      </c>
      <c r="D10" s="17">
        <v>880000</v>
      </c>
      <c r="E10" s="14"/>
      <c r="F10" s="14"/>
      <c r="G10" s="14"/>
      <c r="H10" s="14"/>
      <c r="I10" s="14"/>
      <c r="J10" s="14"/>
      <c r="K10" s="14"/>
      <c r="L10" s="14"/>
      <c r="M10" s="23"/>
    </row>
    <row r="11" spans="2:14" x14ac:dyDescent="0.3">
      <c r="B11" s="24" t="s">
        <v>21</v>
      </c>
      <c r="C11" s="17">
        <v>400000</v>
      </c>
      <c r="D11" s="17">
        <v>420000</v>
      </c>
      <c r="E11" s="14"/>
      <c r="F11" s="14"/>
      <c r="G11" s="14"/>
      <c r="H11" s="14"/>
      <c r="I11" s="14"/>
      <c r="J11" s="14"/>
      <c r="K11" s="14"/>
      <c r="L11" s="14"/>
      <c r="M11" s="23"/>
    </row>
    <row r="12" spans="2:14" x14ac:dyDescent="0.3">
      <c r="B12" s="2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3"/>
    </row>
    <row r="13" spans="2:14" x14ac:dyDescent="0.3">
      <c r="B13" s="27" t="s">
        <v>12</v>
      </c>
      <c r="C13" s="28"/>
      <c r="D13" s="28"/>
      <c r="E13" s="28"/>
      <c r="F13" s="28"/>
      <c r="G13" s="28"/>
      <c r="H13" s="28"/>
      <c r="I13" s="28"/>
      <c r="J13" s="28"/>
      <c r="K13" s="14"/>
      <c r="L13" s="14"/>
      <c r="M13" s="23"/>
    </row>
    <row r="14" spans="2:14" x14ac:dyDescent="0.3">
      <c r="B14" s="27"/>
      <c r="C14" s="28"/>
      <c r="D14" s="28"/>
      <c r="E14" s="28"/>
      <c r="F14" s="28"/>
      <c r="G14" s="28"/>
      <c r="H14" s="28"/>
      <c r="I14" s="28"/>
      <c r="J14" s="28"/>
      <c r="K14" s="14"/>
      <c r="L14" s="14"/>
      <c r="M14" s="23"/>
    </row>
    <row r="15" spans="2:14" x14ac:dyDescent="0.3">
      <c r="B15" s="24"/>
      <c r="C15" s="14"/>
      <c r="D15" s="14"/>
      <c r="E15" s="14" t="s">
        <v>30</v>
      </c>
      <c r="F15" s="14"/>
      <c r="G15" s="14"/>
      <c r="H15" s="14"/>
      <c r="I15" s="14"/>
      <c r="J15" s="14"/>
      <c r="K15" s="14"/>
      <c r="L15" s="14"/>
      <c r="M15" s="23"/>
    </row>
    <row r="16" spans="2:14" x14ac:dyDescent="0.3">
      <c r="B16" s="29" t="s">
        <v>24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23"/>
    </row>
    <row r="17" spans="2:16" x14ac:dyDescent="0.3">
      <c r="B17" s="24" t="s">
        <v>25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23"/>
    </row>
    <row r="18" spans="2:16" x14ac:dyDescent="0.3">
      <c r="B18" s="24" t="s">
        <v>26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23"/>
    </row>
    <row r="19" spans="2:16" x14ac:dyDescent="0.3">
      <c r="B19" s="2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23"/>
    </row>
    <row r="20" spans="2:16" x14ac:dyDescent="0.3">
      <c r="B20" s="24"/>
      <c r="C20" s="14"/>
      <c r="E20" s="14"/>
      <c r="F20" s="14"/>
      <c r="G20" s="14"/>
      <c r="H20" s="14"/>
      <c r="I20" s="14"/>
      <c r="J20" s="14"/>
      <c r="K20" s="14"/>
      <c r="L20" s="14"/>
      <c r="M20" s="23"/>
      <c r="N20" s="22" t="s">
        <v>0</v>
      </c>
      <c r="O20" s="14"/>
      <c r="P20" s="17">
        <f>P5*P6</f>
        <v>0</v>
      </c>
    </row>
    <row r="21" spans="2:16" ht="13" thickBot="1" x14ac:dyDescent="0.35">
      <c r="B21" s="22" t="s">
        <v>0</v>
      </c>
      <c r="C21" s="14"/>
      <c r="D21" s="17">
        <f>D6*D7</f>
        <v>9750000</v>
      </c>
      <c r="E21" s="14"/>
      <c r="F21" s="14"/>
      <c r="G21" s="14"/>
      <c r="H21" s="14"/>
      <c r="I21" s="14"/>
      <c r="J21" s="14"/>
      <c r="K21" s="14"/>
      <c r="L21" s="14"/>
      <c r="M21" s="23"/>
      <c r="N21" s="22" t="s">
        <v>1</v>
      </c>
      <c r="O21" s="14"/>
      <c r="P21" s="14"/>
    </row>
    <row r="22" spans="2:16" ht="13" thickBot="1" x14ac:dyDescent="0.35">
      <c r="B22" s="22" t="s">
        <v>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23"/>
      <c r="N22" s="24" t="s">
        <v>2</v>
      </c>
      <c r="O22" s="10">
        <f>1000*(130+35)</f>
        <v>165000</v>
      </c>
      <c r="P22" s="14"/>
    </row>
    <row r="23" spans="2:16" x14ac:dyDescent="0.3">
      <c r="B23" s="24" t="s">
        <v>2</v>
      </c>
      <c r="C23" s="10">
        <f>1000*(130+35)</f>
        <v>165000</v>
      </c>
      <c r="D23" s="14"/>
      <c r="E23" s="14"/>
      <c r="F23" s="14"/>
      <c r="G23" s="14"/>
      <c r="H23" s="14"/>
      <c r="I23" s="14"/>
      <c r="J23" s="14"/>
      <c r="K23" s="14"/>
      <c r="L23" s="14"/>
      <c r="M23" s="23"/>
      <c r="N23" s="24" t="s">
        <v>3</v>
      </c>
      <c r="O23" s="12">
        <f>P43</f>
        <v>0</v>
      </c>
      <c r="P23" s="14"/>
    </row>
    <row r="24" spans="2:16" ht="13" thickBot="1" x14ac:dyDescent="0.35">
      <c r="B24" s="24" t="s">
        <v>3</v>
      </c>
      <c r="C24" s="12">
        <f>D44</f>
        <v>5896800</v>
      </c>
      <c r="D24" s="14"/>
      <c r="E24" s="14"/>
      <c r="F24" s="14"/>
      <c r="G24" s="14"/>
      <c r="H24" s="14"/>
      <c r="I24" s="14"/>
      <c r="J24" s="14"/>
      <c r="K24" s="14"/>
      <c r="L24" s="14"/>
      <c r="M24" s="23"/>
      <c r="N24" s="24" t="s">
        <v>4</v>
      </c>
      <c r="O24" s="16">
        <f>-P46</f>
        <v>0</v>
      </c>
      <c r="P24" s="30"/>
    </row>
    <row r="25" spans="2:16" ht="13" thickBot="1" x14ac:dyDescent="0.35">
      <c r="B25" s="24" t="s">
        <v>4</v>
      </c>
      <c r="C25" s="15">
        <f>-D47</f>
        <v>-618800</v>
      </c>
      <c r="D25" s="16">
        <f>SUM(C23:C25)</f>
        <v>5443000</v>
      </c>
      <c r="E25" s="14"/>
      <c r="F25" s="14"/>
      <c r="G25" s="14"/>
      <c r="H25" s="14"/>
      <c r="I25" s="14"/>
      <c r="J25" s="14"/>
      <c r="K25" s="14"/>
      <c r="L25" s="14"/>
      <c r="M25" s="23"/>
      <c r="N25" s="2" t="s">
        <v>50</v>
      </c>
      <c r="P25" s="6"/>
    </row>
    <row r="26" spans="2:16" x14ac:dyDescent="0.3">
      <c r="B26" s="22" t="s">
        <v>5</v>
      </c>
      <c r="C26" s="14"/>
      <c r="D26" s="30">
        <f>D21-D25</f>
        <v>4307000</v>
      </c>
      <c r="E26" s="14"/>
      <c r="F26" s="14"/>
      <c r="G26" s="14"/>
      <c r="H26" s="14"/>
      <c r="I26" s="14"/>
      <c r="J26" s="14"/>
      <c r="K26" s="14"/>
      <c r="L26" s="14"/>
      <c r="M26" s="23"/>
      <c r="N26" s="22" t="s">
        <v>51</v>
      </c>
      <c r="O26" s="14"/>
      <c r="P26" s="30">
        <f>P20-P24</f>
        <v>0</v>
      </c>
    </row>
    <row r="27" spans="2:16" x14ac:dyDescent="0.3">
      <c r="B27" s="22" t="s">
        <v>6</v>
      </c>
      <c r="C27" s="14"/>
      <c r="D27" s="30"/>
      <c r="E27" s="14"/>
      <c r="F27" s="14"/>
      <c r="G27" s="14"/>
      <c r="H27" s="14"/>
      <c r="I27" s="14"/>
      <c r="J27" s="14"/>
      <c r="K27" s="14"/>
      <c r="L27" s="14"/>
      <c r="M27" s="23"/>
    </row>
    <row r="28" spans="2:16" x14ac:dyDescent="0.3">
      <c r="B28" s="24" t="s">
        <v>7</v>
      </c>
      <c r="C28" s="14"/>
      <c r="D28" s="30">
        <f>-D53</f>
        <v>-5200</v>
      </c>
      <c r="E28" s="14"/>
      <c r="F28" s="14"/>
      <c r="G28" s="14"/>
      <c r="H28" s="14"/>
      <c r="I28" s="14"/>
      <c r="J28" s="14"/>
      <c r="K28" s="14"/>
      <c r="L28" s="14"/>
      <c r="M28" s="23"/>
      <c r="N28" s="22" t="s">
        <v>6</v>
      </c>
      <c r="O28" s="14"/>
      <c r="P28" s="30"/>
    </row>
    <row r="29" spans="2:16" x14ac:dyDescent="0.3">
      <c r="B29" s="24" t="s">
        <v>8</v>
      </c>
      <c r="C29" s="14"/>
      <c r="D29" s="17">
        <f>-D9*D6</f>
        <v>-1620000</v>
      </c>
      <c r="E29" s="14"/>
      <c r="F29" s="14"/>
      <c r="G29" s="14"/>
      <c r="H29" s="14"/>
      <c r="I29" s="14"/>
      <c r="J29" s="14"/>
      <c r="K29" s="14"/>
      <c r="L29" s="14"/>
      <c r="M29" s="23"/>
      <c r="N29" s="24" t="s">
        <v>7</v>
      </c>
      <c r="O29" s="14"/>
      <c r="P29" s="30">
        <f>-P52</f>
        <v>0</v>
      </c>
    </row>
    <row r="30" spans="2:16" x14ac:dyDescent="0.3">
      <c r="B30" s="24" t="s">
        <v>9</v>
      </c>
      <c r="C30" s="14"/>
      <c r="D30" s="17">
        <f>-D11</f>
        <v>-420000</v>
      </c>
      <c r="E30" s="14"/>
      <c r="F30" s="14"/>
      <c r="G30" s="14"/>
      <c r="H30" s="14"/>
      <c r="I30" s="14"/>
      <c r="J30" s="14"/>
      <c r="K30" s="14"/>
      <c r="L30" s="14"/>
      <c r="M30" s="23"/>
      <c r="N30" s="24" t="s">
        <v>8</v>
      </c>
      <c r="O30" s="14"/>
      <c r="P30" s="17">
        <f>-P8*P5</f>
        <v>0</v>
      </c>
    </row>
    <row r="31" spans="2:16" ht="13" thickBot="1" x14ac:dyDescent="0.35">
      <c r="B31" s="22" t="s">
        <v>10</v>
      </c>
      <c r="C31" s="14"/>
      <c r="D31" s="18">
        <f>SUM(D26:D30)</f>
        <v>2261800</v>
      </c>
      <c r="E31" s="14"/>
      <c r="F31" s="14"/>
      <c r="G31" s="14"/>
      <c r="H31" s="14"/>
      <c r="I31" s="14"/>
      <c r="J31" s="14"/>
      <c r="K31" s="14"/>
      <c r="L31" s="14"/>
      <c r="M31" s="23"/>
      <c r="N31" s="24" t="s">
        <v>9</v>
      </c>
      <c r="O31" s="14"/>
      <c r="P31" s="17">
        <f>-D11</f>
        <v>-420000</v>
      </c>
    </row>
    <row r="32" spans="2:16" ht="13" thickBot="1" x14ac:dyDescent="0.35">
      <c r="B32" s="2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23"/>
      <c r="N32" s="22" t="s">
        <v>10</v>
      </c>
      <c r="O32" s="14"/>
      <c r="P32" s="18">
        <f>SUM(P26:P31)</f>
        <v>-420000</v>
      </c>
    </row>
    <row r="33" spans="2:13" ht="13" thickBot="1" x14ac:dyDescent="0.35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31"/>
    </row>
    <row r="34" spans="2:13" x14ac:dyDescent="0.3">
      <c r="B34" s="24" t="s">
        <v>47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23"/>
    </row>
    <row r="35" spans="2:13" x14ac:dyDescent="0.3">
      <c r="B35" s="2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23"/>
    </row>
    <row r="36" spans="2:13" x14ac:dyDescent="0.3">
      <c r="B36" s="2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23"/>
    </row>
    <row r="37" spans="2:13" x14ac:dyDescent="0.3">
      <c r="B37" s="32" t="s">
        <v>27</v>
      </c>
      <c r="C37" s="14"/>
      <c r="D37" s="14"/>
      <c r="E37" s="14"/>
      <c r="F37" s="14"/>
      <c r="G37" s="33" t="s">
        <v>48</v>
      </c>
      <c r="H37" s="33"/>
      <c r="I37" s="33"/>
      <c r="J37" s="33"/>
      <c r="K37" s="33"/>
      <c r="L37" s="33"/>
      <c r="M37" s="23"/>
    </row>
    <row r="38" spans="2:13" x14ac:dyDescent="0.3">
      <c r="B38" s="24" t="s">
        <v>28</v>
      </c>
      <c r="C38" s="14"/>
      <c r="D38" s="17">
        <v>810000</v>
      </c>
      <c r="E38" s="14"/>
      <c r="F38" s="14"/>
      <c r="G38" s="14" t="s">
        <v>40</v>
      </c>
      <c r="H38" s="14"/>
      <c r="I38" s="13">
        <v>1000</v>
      </c>
      <c r="J38" s="14" t="s">
        <v>39</v>
      </c>
      <c r="K38" s="14"/>
      <c r="L38" s="14">
        <f>L40-L39</f>
        <v>3400</v>
      </c>
      <c r="M38" s="23" t="s">
        <v>42</v>
      </c>
    </row>
    <row r="39" spans="2:13" x14ac:dyDescent="0.3">
      <c r="B39" s="24" t="s">
        <v>29</v>
      </c>
      <c r="C39" s="14"/>
      <c r="D39" s="17">
        <f>C5</f>
        <v>30000</v>
      </c>
      <c r="E39" s="14"/>
      <c r="F39" s="14"/>
      <c r="G39" s="14" t="s">
        <v>41</v>
      </c>
      <c r="H39" s="14"/>
      <c r="I39" s="13">
        <v>32400</v>
      </c>
      <c r="J39" s="14" t="s">
        <v>43</v>
      </c>
      <c r="K39" s="14"/>
      <c r="L39" s="14">
        <v>30000</v>
      </c>
      <c r="M39" s="23"/>
    </row>
    <row r="40" spans="2:13" x14ac:dyDescent="0.3">
      <c r="B40" s="24" t="s">
        <v>31</v>
      </c>
      <c r="C40" s="14"/>
      <c r="D40" s="14">
        <f>D38/D39</f>
        <v>27</v>
      </c>
      <c r="E40" s="14"/>
      <c r="F40" s="14"/>
      <c r="G40" s="14"/>
      <c r="H40" s="14"/>
      <c r="I40" s="13">
        <f>SUM(I38:I39)</f>
        <v>33400</v>
      </c>
      <c r="J40" s="14"/>
      <c r="K40" s="14"/>
      <c r="L40" s="14">
        <f>I40</f>
        <v>33400</v>
      </c>
      <c r="M40" s="23"/>
    </row>
    <row r="41" spans="2:13" x14ac:dyDescent="0.3">
      <c r="B41" s="24"/>
      <c r="C41" s="14"/>
      <c r="D41" s="14"/>
      <c r="E41" s="14"/>
      <c r="F41" s="14"/>
      <c r="G41" s="14"/>
      <c r="H41" s="14"/>
      <c r="I41" s="13"/>
      <c r="J41" s="14"/>
      <c r="K41" s="14"/>
      <c r="L41" s="14"/>
      <c r="M41" s="23"/>
    </row>
    <row r="42" spans="2:13" x14ac:dyDescent="0.3">
      <c r="B42" s="24" t="s">
        <v>32</v>
      </c>
      <c r="C42" s="14"/>
      <c r="D42" s="30">
        <f>D40*D5</f>
        <v>874800</v>
      </c>
      <c r="E42" s="14"/>
      <c r="F42" s="14"/>
      <c r="G42" s="14"/>
      <c r="H42" s="14"/>
      <c r="I42" s="13"/>
      <c r="J42" s="14"/>
      <c r="K42" s="14"/>
      <c r="L42" s="14"/>
      <c r="M42" s="23"/>
    </row>
    <row r="43" spans="2:13" x14ac:dyDescent="0.3">
      <c r="B43" s="24" t="s">
        <v>33</v>
      </c>
      <c r="C43" s="14"/>
      <c r="D43" s="30">
        <f>155*D5</f>
        <v>5022000</v>
      </c>
      <c r="E43" s="14"/>
      <c r="F43" s="14"/>
      <c r="G43" s="14"/>
      <c r="H43" s="14"/>
      <c r="I43" s="13"/>
      <c r="J43" s="14"/>
      <c r="K43" s="14"/>
      <c r="L43" s="14"/>
      <c r="M43" s="23"/>
    </row>
    <row r="44" spans="2:13" x14ac:dyDescent="0.3">
      <c r="B44" s="24" t="s">
        <v>34</v>
      </c>
      <c r="C44" s="14"/>
      <c r="D44" s="30">
        <f>SUM(D42:D43)</f>
        <v>5896800</v>
      </c>
      <c r="E44" s="14"/>
      <c r="F44" s="14"/>
      <c r="G44" s="14"/>
      <c r="H44" s="14"/>
      <c r="I44" s="13"/>
      <c r="J44" s="14"/>
      <c r="K44" s="14"/>
      <c r="L44" s="14"/>
      <c r="M44" s="23"/>
    </row>
    <row r="45" spans="2:13" x14ac:dyDescent="0.3">
      <c r="B45" s="24"/>
      <c r="C45" s="14"/>
      <c r="D45" s="14"/>
      <c r="E45" s="14"/>
      <c r="F45" s="14"/>
      <c r="G45" s="14"/>
      <c r="H45" s="14"/>
      <c r="I45" s="13"/>
      <c r="J45" s="14"/>
      <c r="K45" s="14"/>
      <c r="L45" s="14"/>
      <c r="M45" s="23"/>
    </row>
    <row r="46" spans="2:13" x14ac:dyDescent="0.3">
      <c r="B46" s="24" t="s">
        <v>35</v>
      </c>
      <c r="C46" s="14"/>
      <c r="D46" s="30">
        <f>27+D8</f>
        <v>182</v>
      </c>
      <c r="E46" s="14"/>
      <c r="F46" s="14"/>
      <c r="G46" s="14"/>
      <c r="H46" s="14"/>
      <c r="I46" s="14"/>
      <c r="J46" s="14"/>
      <c r="K46" s="14"/>
      <c r="L46" s="14"/>
      <c r="M46" s="23"/>
    </row>
    <row r="47" spans="2:13" x14ac:dyDescent="0.3">
      <c r="B47" s="24" t="s">
        <v>36</v>
      </c>
      <c r="C47" s="14" t="s">
        <v>37</v>
      </c>
      <c r="D47" s="30">
        <f>L38*D46</f>
        <v>618800</v>
      </c>
      <c r="E47" s="14"/>
      <c r="F47" s="14"/>
      <c r="G47" s="14"/>
      <c r="H47" s="14"/>
      <c r="I47" s="14"/>
      <c r="J47" s="14"/>
      <c r="K47" s="14"/>
      <c r="L47" s="14"/>
      <c r="M47" s="23"/>
    </row>
    <row r="48" spans="2:13" x14ac:dyDescent="0.3">
      <c r="B48" s="2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23"/>
    </row>
    <row r="49" spans="2:13" x14ac:dyDescent="0.3">
      <c r="B49" s="2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23"/>
    </row>
    <row r="50" spans="2:13" x14ac:dyDescent="0.3">
      <c r="B50" s="22" t="s">
        <v>6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23"/>
    </row>
    <row r="51" spans="2:13" x14ac:dyDescent="0.3">
      <c r="B51" s="34" t="s">
        <v>44</v>
      </c>
      <c r="C51" s="35"/>
      <c r="D51" s="36">
        <f>D42</f>
        <v>874800</v>
      </c>
      <c r="E51" s="35"/>
      <c r="F51" s="14"/>
      <c r="G51" s="14"/>
      <c r="H51" s="14"/>
      <c r="I51" s="14"/>
      <c r="J51" s="14"/>
      <c r="K51" s="14"/>
      <c r="L51" s="14"/>
      <c r="M51" s="23"/>
    </row>
    <row r="52" spans="2:13" x14ac:dyDescent="0.3">
      <c r="B52" s="24" t="s">
        <v>45</v>
      </c>
      <c r="C52" s="14"/>
      <c r="D52" s="17">
        <v>880000</v>
      </c>
      <c r="E52" s="14"/>
      <c r="F52" s="14"/>
      <c r="G52" s="14"/>
      <c r="H52" s="14"/>
      <c r="I52" s="14"/>
      <c r="J52" s="14"/>
      <c r="K52" s="14"/>
      <c r="L52" s="14"/>
      <c r="M52" s="23"/>
    </row>
    <row r="53" spans="2:13" x14ac:dyDescent="0.3">
      <c r="B53" s="24" t="s">
        <v>46</v>
      </c>
      <c r="C53" s="14"/>
      <c r="D53" s="30">
        <f>D52-D51</f>
        <v>5200</v>
      </c>
      <c r="E53" s="14"/>
      <c r="F53" s="14"/>
      <c r="G53" s="14"/>
      <c r="H53" s="14"/>
      <c r="I53" s="14"/>
      <c r="J53" s="14"/>
      <c r="K53" s="14"/>
      <c r="L53" s="14"/>
      <c r="M53" s="23"/>
    </row>
    <row r="54" spans="2:13" x14ac:dyDescent="0.3">
      <c r="B54" s="2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23"/>
    </row>
    <row r="55" spans="2:13" x14ac:dyDescent="0.3">
      <c r="B55" s="2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23"/>
    </row>
    <row r="56" spans="2:13" x14ac:dyDescent="0.3">
      <c r="B56" s="2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23"/>
    </row>
    <row r="57" spans="2:13" ht="13" thickBot="1" x14ac:dyDescent="0.35"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31"/>
    </row>
  </sheetData>
  <mergeCells count="2">
    <mergeCell ref="B13:J14"/>
    <mergeCell ref="G37:L37"/>
  </mergeCells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7FE1-FD8A-4B47-B311-C89EC55D8EF9}">
  <dimension ref="A1"/>
  <sheetViews>
    <sheetView zoomScale="90" zoomScaleNormal="90" workbookViewId="0">
      <selection sqref="A1:XFD1048576"/>
    </sheetView>
  </sheetViews>
  <sheetFormatPr defaultRowHeight="12.5" x14ac:dyDescent="0.3"/>
  <cols>
    <col min="1" max="16384" width="8.7265625" style="2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60E2-D324-4966-9E6F-BBB8875B371C}">
  <dimension ref="A1"/>
  <sheetViews>
    <sheetView workbookViewId="0">
      <selection sqref="A1:XFD1048576"/>
    </sheetView>
  </sheetViews>
  <sheetFormatPr defaultRowHeight="16" x14ac:dyDescent="0.4"/>
  <cols>
    <col min="1" max="16384" width="8.7265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Example Costing Endunamo </vt:lpstr>
      <vt:lpstr>Question 2(ABC)</vt:lpstr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Mlayezeli Mangena</dc:creator>
  <cp:lastModifiedBy>Mlayezeli Mangena</cp:lastModifiedBy>
  <dcterms:created xsi:type="dcterms:W3CDTF">2023-11-22T21:19:48Z</dcterms:created>
  <dcterms:modified xsi:type="dcterms:W3CDTF">2023-11-23T01:35:32Z</dcterms:modified>
</cp:coreProperties>
</file>